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AirTable\Soul Surgion\"/>
    </mc:Choice>
  </mc:AlternateContent>
  <bookViews>
    <workbookView xWindow="0" yWindow="0" windowWidth="0" windowHeight="0" activeTab="1"/>
  </bookViews>
  <sheets>
    <sheet name="Sheet1" sheetId="1" r:id="rId1"/>
    <sheet name="main" sheetId="2" r:id="rId2"/>
    <sheet name="messy" sheetId="3" r:id="rId3"/>
    <sheet name="Sheet3" sheetId="4" r:id="rId4"/>
  </sheets>
  <definedNames>
    <definedName name="_xlnm._FilterDatabase" localSheetId="0" hidden="1">Sheet1!$A$1:$J$339</definedName>
    <definedName name="_xlnm._FilterDatabase" localSheetId="1" hidden="1">main!$I$1:$I$1000</definedName>
  </definedNames>
  <calcPr/>
</workbook>
</file>

<file path=xl/calcChain.xml><?xml version="1.0" encoding="utf-8"?>
<calcChain xmlns="http://schemas.openxmlformats.org/spreadsheetml/2006/main">
  <c i="2" l="1" r="E2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i="4" r="A171"/>
  <c r="A170"/>
  <c r="A169"/>
  <c r="A168"/>
  <c r="A167"/>
  <c r="A166"/>
  <c r="A165"/>
  <c r="A164"/>
  <c r="A163"/>
  <c r="A162"/>
  <c r="A161"/>
  <c r="A160"/>
  <c r="A159"/>
  <c r="A158"/>
  <c r="A157"/>
  <c r="A156"/>
  <c r="A155"/>
  <c r="A154"/>
  <c r="A153"/>
  <c r="A152"/>
  <c r="A151"/>
  <c r="A150"/>
  <c r="A149"/>
  <c r="A148"/>
  <c r="A147"/>
  <c r="A146"/>
  <c r="A145"/>
  <c r="A144"/>
  <c r="A143"/>
  <c r="A142"/>
  <c r="A141"/>
  <c r="A140"/>
  <c r="A139"/>
  <c r="A138"/>
  <c r="A137"/>
  <c r="A136"/>
  <c r="A135"/>
  <c r="A134"/>
  <c r="A133"/>
  <c r="A132"/>
  <c r="A131"/>
  <c r="A130"/>
  <c r="A129"/>
  <c r="A128"/>
  <c r="A127"/>
  <c r="A126"/>
  <c r="A125"/>
  <c r="A124"/>
  <c r="A123"/>
  <c r="A122"/>
  <c r="A121"/>
  <c r="A120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5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2"/>
  <c i="2" r="A169"/>
  <c r="H169"/>
  <c r="I169"/>
  <c r="A168"/>
  <c r="H168"/>
  <c r="I168"/>
  <c r="A167"/>
  <c r="H167"/>
  <c r="I167"/>
  <c r="A166"/>
  <c r="H166"/>
  <c r="I166"/>
  <c r="A165"/>
  <c r="H165"/>
  <c r="I165"/>
  <c r="A164"/>
  <c r="H164"/>
  <c r="I164"/>
  <c r="A163"/>
  <c r="H163"/>
  <c r="I163"/>
  <c r="A162"/>
  <c r="H162"/>
  <c r="I162"/>
  <c r="A161"/>
  <c r="H161"/>
  <c r="I161"/>
  <c r="A160"/>
  <c r="H160"/>
  <c r="I160"/>
  <c r="A159"/>
  <c r="H159"/>
  <c r="I159"/>
  <c r="A158"/>
  <c r="H158"/>
  <c r="I158"/>
  <c r="A157"/>
  <c r="H157"/>
  <c r="I157"/>
  <c r="A156"/>
  <c r="H156"/>
  <c r="I156"/>
  <c r="A155"/>
  <c r="H155"/>
  <c r="I155"/>
  <c r="A154"/>
  <c r="H154"/>
  <c r="I154"/>
  <c r="A153"/>
  <c r="H153"/>
  <c r="I153"/>
  <c r="A152"/>
  <c r="H152"/>
  <c r="I152"/>
  <c r="A151"/>
  <c r="H151"/>
  <c r="I151"/>
  <c r="A150"/>
  <c r="H150"/>
  <c r="I150"/>
  <c r="A149"/>
  <c r="H149"/>
  <c r="I149"/>
  <c r="A148"/>
  <c r="H148"/>
  <c r="I148"/>
  <c r="A147"/>
  <c r="H147"/>
  <c r="I147"/>
  <c r="A146"/>
  <c r="H146"/>
  <c r="I146"/>
  <c r="A145"/>
  <c r="H145"/>
  <c r="I145"/>
  <c r="A144"/>
  <c r="H144"/>
  <c r="I144"/>
  <c r="A143"/>
  <c r="H143"/>
  <c r="I143"/>
  <c r="A142"/>
  <c r="H142"/>
  <c r="I142"/>
  <c r="A141"/>
  <c r="H141"/>
  <c r="I141"/>
  <c r="A140"/>
  <c r="H140"/>
  <c r="I140"/>
  <c r="A139"/>
  <c r="H139"/>
  <c r="I139"/>
  <c r="A138"/>
  <c r="H138"/>
  <c r="I138"/>
  <c r="A137"/>
  <c r="H137"/>
  <c r="I137"/>
  <c r="A136"/>
  <c r="H136"/>
  <c r="I136"/>
  <c r="A135"/>
  <c r="H135"/>
  <c r="I135"/>
  <c r="A134"/>
  <c r="H134"/>
  <c r="I134"/>
  <c r="A133"/>
  <c r="H133"/>
  <c r="I133"/>
  <c r="A132"/>
  <c r="H132"/>
  <c r="I132"/>
  <c r="A131"/>
  <c r="H131"/>
  <c r="I131"/>
  <c r="A130"/>
  <c r="H130"/>
  <c r="I130"/>
  <c r="A129"/>
  <c r="H129"/>
  <c r="I129"/>
  <c r="A128"/>
  <c r="H128"/>
  <c r="I128"/>
  <c r="A127"/>
  <c r="H127"/>
  <c r="I127"/>
  <c r="A126"/>
  <c r="H126"/>
  <c r="I126"/>
  <c r="A125"/>
  <c r="H125"/>
  <c r="I125"/>
  <c r="A124"/>
  <c r="H124"/>
  <c r="I124"/>
  <c r="A123"/>
  <c r="H123"/>
  <c r="I123"/>
  <c r="A122"/>
  <c r="H122"/>
  <c r="I122"/>
  <c r="A121"/>
  <c r="H121"/>
  <c r="I121"/>
  <c r="A120"/>
  <c r="H120"/>
  <c r="I120"/>
  <c r="A119"/>
  <c r="H119"/>
  <c r="I119"/>
  <c r="A118"/>
  <c r="H118"/>
  <c r="I118"/>
  <c r="A117"/>
  <c r="H117"/>
  <c r="I117"/>
  <c r="A116"/>
  <c r="H116"/>
  <c r="I116"/>
  <c r="A115"/>
  <c r="H115"/>
  <c r="I115"/>
  <c r="A114"/>
  <c r="H114"/>
  <c r="I114"/>
  <c r="A113"/>
  <c r="H113"/>
  <c r="I113"/>
  <c r="A112"/>
  <c r="H112"/>
  <c r="I112"/>
  <c r="A111"/>
  <c r="H111"/>
  <c r="I111"/>
  <c r="A110"/>
  <c r="H110"/>
  <c r="I110"/>
  <c r="A109"/>
  <c r="H109"/>
  <c r="I109"/>
  <c r="A108"/>
  <c r="H108"/>
  <c r="I108"/>
  <c r="A107"/>
  <c r="H107"/>
  <c r="I107"/>
  <c r="A106"/>
  <c r="H106"/>
  <c r="I106"/>
  <c r="A105"/>
  <c r="H105"/>
  <c r="I105"/>
  <c r="A104"/>
  <c r="H104"/>
  <c r="I104"/>
  <c r="A103"/>
  <c r="H103"/>
  <c r="I103"/>
  <c r="A102"/>
  <c r="H102"/>
  <c r="I102"/>
  <c r="A101"/>
  <c r="H101"/>
  <c r="I101"/>
  <c r="A100"/>
  <c r="H100"/>
  <c r="I100"/>
  <c r="A99"/>
  <c r="H99"/>
  <c r="I99"/>
  <c r="A98"/>
  <c r="H98"/>
  <c r="I98"/>
  <c r="A97"/>
  <c r="H97"/>
  <c r="I97"/>
  <c r="A96"/>
  <c r="H96"/>
  <c r="I96"/>
  <c r="A95"/>
  <c r="H95"/>
  <c r="I95"/>
  <c r="A94"/>
  <c r="H94"/>
  <c r="I94"/>
  <c r="A93"/>
  <c r="H93"/>
  <c r="I93"/>
  <c r="A92"/>
  <c r="H92"/>
  <c r="I92"/>
  <c r="A91"/>
  <c r="H91"/>
  <c r="I91"/>
  <c r="A90"/>
  <c r="H90"/>
  <c r="I90"/>
  <c r="A89"/>
  <c r="H89"/>
  <c r="I89"/>
  <c r="A88"/>
  <c r="H88"/>
  <c r="I88"/>
  <c r="A87"/>
  <c r="H87"/>
  <c r="I87"/>
  <c r="A86"/>
  <c r="H86"/>
  <c r="I86"/>
  <c r="A85"/>
  <c r="H85"/>
  <c r="I85"/>
  <c r="A84"/>
  <c r="H84"/>
  <c r="I84"/>
  <c r="A83"/>
  <c r="H83"/>
  <c r="I83"/>
  <c r="A82"/>
  <c r="H82"/>
  <c r="I82"/>
  <c r="A81"/>
  <c r="H81"/>
  <c r="I81"/>
  <c r="A80"/>
  <c r="H80"/>
  <c r="I80"/>
  <c r="A79"/>
  <c r="H79"/>
  <c r="I79"/>
  <c r="A78"/>
  <c r="H78"/>
  <c r="I78"/>
  <c r="A77"/>
  <c r="H77"/>
  <c r="I77"/>
  <c r="A76"/>
  <c r="H76"/>
  <c r="I76"/>
  <c r="A75"/>
  <c r="H75"/>
  <c r="I75"/>
  <c r="A74"/>
  <c r="H74"/>
  <c r="I74"/>
  <c r="A73"/>
  <c r="H73"/>
  <c r="I73"/>
  <c r="A72"/>
  <c r="H72"/>
  <c r="I72"/>
  <c r="A71"/>
  <c r="H71"/>
  <c r="I71"/>
  <c r="A70"/>
  <c r="H70"/>
  <c r="I70"/>
  <c r="A69"/>
  <c r="H69"/>
  <c r="I69"/>
  <c r="A68"/>
  <c r="H68"/>
  <c r="I68"/>
  <c r="A67"/>
  <c r="H67"/>
  <c r="I67"/>
  <c r="A66"/>
  <c r="H66"/>
  <c r="I66"/>
  <c r="A65"/>
  <c r="H65"/>
  <c r="I65"/>
  <c r="A64"/>
  <c r="H64"/>
  <c r="I64"/>
  <c r="A63"/>
  <c r="H63"/>
  <c r="I63"/>
  <c r="A62"/>
  <c r="H62"/>
  <c r="I62"/>
  <c r="A61"/>
  <c r="H61"/>
  <c r="I61"/>
  <c r="A60"/>
  <c r="H60"/>
  <c r="I60"/>
  <c r="A59"/>
  <c r="H59"/>
  <c r="I59"/>
  <c r="A58"/>
  <c r="H58"/>
  <c r="I58"/>
  <c r="A57"/>
  <c r="H57"/>
  <c r="I57"/>
  <c r="A56"/>
  <c r="H56"/>
  <c r="I56"/>
  <c r="A55"/>
  <c r="H55"/>
  <c r="I55"/>
  <c r="A54"/>
  <c r="H54"/>
  <c r="I54"/>
  <c r="A53"/>
  <c r="H53"/>
  <c r="I53"/>
  <c r="A52"/>
  <c r="H52"/>
  <c r="I52"/>
  <c r="A51"/>
  <c r="H51"/>
  <c r="I51"/>
  <c r="A50"/>
  <c r="H50"/>
  <c r="I50"/>
  <c r="A49"/>
  <c r="H49"/>
  <c r="I49"/>
  <c r="A48"/>
  <c r="H48"/>
  <c r="I48"/>
  <c r="A47"/>
  <c r="H47"/>
  <c r="I47"/>
  <c r="A46"/>
  <c r="H46"/>
  <c r="I46"/>
  <c r="A45"/>
  <c r="H45"/>
  <c r="I45"/>
  <c r="A44"/>
  <c r="H44"/>
  <c r="I44"/>
  <c r="A43"/>
  <c r="H43"/>
  <c r="I43"/>
  <c r="A42"/>
  <c r="H42"/>
  <c r="I42"/>
  <c r="A41"/>
  <c r="H41"/>
  <c r="I41"/>
  <c r="A40"/>
  <c r="H40"/>
  <c r="I40"/>
  <c r="A39"/>
  <c r="H39"/>
  <c r="I39"/>
  <c r="A38"/>
  <c r="H38"/>
  <c r="I38"/>
  <c r="A37"/>
  <c r="H37"/>
  <c r="I37"/>
  <c r="A36"/>
  <c r="H36"/>
  <c r="I36"/>
  <c r="A35"/>
  <c r="H35"/>
  <c r="I35"/>
  <c r="A34"/>
  <c r="H34"/>
  <c r="I34"/>
  <c r="A33"/>
  <c r="H33"/>
  <c r="I33"/>
  <c r="A32"/>
  <c r="H32"/>
  <c r="I32"/>
  <c r="A31"/>
  <c r="H31"/>
  <c r="I31"/>
  <c r="A30"/>
  <c r="H30"/>
  <c r="I30"/>
  <c r="A29"/>
  <c r="H29"/>
  <c r="I29"/>
  <c r="A28"/>
  <c r="H28"/>
  <c r="I28"/>
  <c r="A27"/>
  <c r="H27"/>
  <c r="I27"/>
  <c r="A26"/>
  <c r="H26"/>
  <c r="I26"/>
  <c r="A25"/>
  <c r="H25"/>
  <c r="I25"/>
  <c r="A24"/>
  <c r="H24"/>
  <c r="I24"/>
  <c r="A23"/>
  <c r="H23"/>
  <c r="I23"/>
  <c r="A22"/>
  <c r="H22"/>
  <c r="I22"/>
  <c r="A21"/>
  <c r="H21"/>
  <c r="I21"/>
  <c r="A20"/>
  <c r="H20"/>
  <c r="I20"/>
  <c r="A19"/>
  <c r="H19"/>
  <c r="I19"/>
  <c r="A18"/>
  <c r="H18"/>
  <c r="I18"/>
  <c r="A17"/>
  <c r="H17"/>
  <c r="I17"/>
  <c r="A16"/>
  <c r="H16"/>
  <c r="I16"/>
  <c r="A15"/>
  <c r="H15"/>
  <c r="I15"/>
  <c r="A14"/>
  <c r="H14"/>
  <c r="I14"/>
  <c r="A13"/>
  <c r="H13"/>
  <c r="I13"/>
  <c r="A12"/>
  <c r="H12"/>
  <c r="I12"/>
  <c r="A11"/>
  <c r="H11"/>
  <c r="I11"/>
  <c r="A10"/>
  <c r="H10"/>
  <c r="I10"/>
  <c r="A9"/>
  <c r="H9"/>
  <c r="I9"/>
  <c r="A8"/>
  <c r="H8"/>
  <c r="I8"/>
  <c r="A7"/>
  <c r="H7"/>
  <c r="I7"/>
  <c r="A6"/>
  <c r="H6"/>
  <c r="I6"/>
  <c r="A5"/>
  <c r="H5"/>
  <c r="I5"/>
  <c r="A4"/>
  <c r="H4"/>
  <c r="I4"/>
  <c r="A3"/>
  <c r="H3"/>
  <c r="I3"/>
  <c r="A2"/>
  <c r="H2"/>
  <c r="I2"/>
  <c i="1" r="Q332"/>
  <c r="Q331"/>
  <c r="Q330"/>
  <c r="Q329"/>
  <c r="Q328"/>
  <c r="Q327"/>
  <c r="Q326"/>
  <c r="Q322"/>
  <c r="Q316"/>
  <c r="Q315"/>
  <c r="Q314"/>
  <c r="Q313"/>
  <c r="Q312"/>
  <c r="Q311"/>
  <c r="Q310"/>
  <c r="Q303"/>
  <c r="Q302"/>
  <c r="Q301"/>
  <c r="Q300"/>
  <c r="Q299"/>
  <c r="Q298"/>
  <c r="Q292"/>
  <c r="Q291"/>
  <c r="Q290"/>
  <c r="Q289"/>
  <c r="Q288"/>
  <c r="Q281"/>
  <c r="Q280"/>
  <c r="Q279"/>
  <c r="Q278"/>
  <c r="Q277"/>
  <c r="Q269"/>
  <c r="Q268"/>
  <c r="Q267"/>
  <c r="Q266"/>
  <c r="Q265"/>
  <c r="Q264"/>
  <c r="Q263"/>
  <c r="Q257"/>
  <c r="Q256"/>
  <c r="Q255"/>
  <c r="Q254"/>
  <c r="Q253"/>
  <c r="Q246"/>
  <c r="Q245"/>
  <c r="Q244"/>
  <c r="Q243"/>
  <c r="Q242"/>
  <c r="Q241"/>
  <c r="Q233"/>
  <c r="Q232"/>
  <c r="Q231"/>
  <c r="Q230"/>
  <c r="Q229"/>
  <c r="Q228"/>
  <c r="Q227"/>
  <c r="Q225"/>
  <c r="Q221"/>
  <c r="Q220"/>
  <c r="Q217"/>
  <c r="Q216"/>
  <c r="Q210"/>
  <c r="Q209"/>
  <c r="Q208"/>
  <c r="Q207"/>
  <c r="Q206"/>
  <c r="Q201"/>
  <c r="Q200"/>
  <c r="Q199"/>
  <c r="Q198"/>
  <c r="Q193"/>
  <c r="Q192"/>
  <c r="Q191"/>
  <c r="Q190"/>
  <c r="Q182"/>
  <c r="Q181"/>
  <c r="Q180"/>
  <c r="Q179"/>
  <c r="Q178"/>
  <c r="Q177"/>
  <c r="Q176"/>
  <c r="Q174"/>
  <c r="Q170"/>
  <c r="Q169"/>
  <c r="Q168"/>
  <c r="Q163"/>
  <c r="Q161"/>
  <c r="Q160"/>
  <c r="Q159"/>
  <c r="Q158"/>
  <c r="Q157"/>
  <c r="Q148"/>
  <c r="Q147"/>
  <c r="Q146"/>
  <c r="Q145"/>
  <c r="Q144"/>
  <c r="Q143"/>
  <c r="Q142"/>
  <c r="Q141"/>
  <c r="Q135"/>
  <c r="Q134"/>
  <c r="Q133"/>
  <c r="Q132"/>
  <c r="Q131"/>
  <c r="Q125"/>
  <c r="Q124"/>
  <c r="Q123"/>
  <c r="Q122"/>
  <c r="Q121"/>
  <c r="Q113"/>
  <c r="Q112"/>
  <c r="Q111"/>
  <c r="Q110"/>
  <c r="Q109"/>
  <c r="Q108"/>
  <c r="Q107"/>
  <c r="Q100"/>
  <c r="Q99"/>
  <c r="Q98"/>
  <c r="Q97"/>
  <c r="Q96"/>
  <c r="Q95"/>
  <c r="Q88"/>
  <c r="Q87"/>
  <c r="Q86"/>
  <c r="Q85"/>
  <c r="Q84"/>
  <c r="Q83"/>
  <c r="Q76"/>
  <c r="Q75"/>
  <c r="Q74"/>
  <c r="Q73"/>
  <c r="Q72"/>
  <c r="Q71"/>
  <c r="Q61"/>
  <c r="Q60"/>
  <c r="Q59"/>
  <c r="Q58"/>
  <c r="Q57"/>
  <c r="Q56"/>
  <c r="Q55"/>
  <c r="Q54"/>
  <c r="Q47"/>
  <c r="Q46"/>
  <c r="Q45"/>
  <c r="Q44"/>
  <c r="Q43"/>
  <c r="Q42"/>
  <c r="Q35"/>
  <c r="Q34"/>
  <c r="Q33"/>
  <c r="Q32"/>
  <c r="Q31"/>
  <c r="Q30"/>
  <c r="Q22"/>
  <c r="Q21"/>
  <c r="Q20"/>
  <c r="Q19"/>
  <c r="Q18"/>
  <c r="Q17"/>
  <c r="Q16"/>
  <c r="Q8"/>
  <c r="Q7"/>
  <c r="Q6"/>
  <c r="Q5"/>
  <c r="Q4"/>
  <c r="Q3"/>
  <c r="Q2"/>
  <c i="4" l="1" r="D169"/>
  <c r="D144"/>
  <c r="D148"/>
  <c r="D166"/>
  <c r="D150"/>
  <c r="D163"/>
  <c r="D138"/>
  <c r="D162"/>
  <c r="D139"/>
  <c r="D141"/>
  <c r="D145"/>
  <c r="D147"/>
  <c r="D151"/>
  <c r="D155"/>
  <c r="D158"/>
  <c r="D164"/>
  <c r="D140"/>
  <c r="D143"/>
  <c r="D146"/>
  <c r="D149"/>
  <c r="D153"/>
  <c r="D157"/>
  <c r="D161"/>
  <c r="D170"/>
  <c r="D165"/>
  <c r="D2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52"/>
  <c r="D154"/>
  <c r="D159"/>
  <c r="D171"/>
  <c r="D167"/>
  <c r="D142"/>
  <c r="D156"/>
  <c r="D160"/>
  <c r="D168"/>
</calcChain>
</file>

<file path=xl/sharedStrings.xml><?xml version="1.0" encoding="utf-8"?>
<sst xmlns="http://schemas.openxmlformats.org/spreadsheetml/2006/main">
  <si>
    <t>Date</t>
  </si>
  <si>
    <t>Employee Name</t>
  </si>
  <si>
    <t>Member Code</t>
  </si>
  <si>
    <t>EntryType</t>
  </si>
  <si>
    <t>Time</t>
  </si>
  <si>
    <t>Duration</t>
  </si>
  <si>
    <t>Device Name</t>
  </si>
  <si>
    <t>Role</t>
  </si>
  <si>
    <t>Mobile App Mode</t>
  </si>
  <si>
    <t>Store Location</t>
  </si>
  <si>
    <t>DATE</t>
  </si>
  <si>
    <t>NAME</t>
  </si>
  <si>
    <t>TIME IN</t>
  </si>
  <si>
    <t>TIME OUT</t>
  </si>
  <si>
    <t>DURATION</t>
  </si>
  <si>
    <t>Lorenzo Castillo</t>
  </si>
  <si>
    <t>GL-2</t>
  </si>
  <si>
    <t>In</t>
  </si>
  <si>
    <t>OP4BFB</t>
  </si>
  <si>
    <t>Member</t>
  </si>
  <si>
    <t>Kiosk</t>
  </si>
  <si>
    <t>Haven</t>
  </si>
  <si>
    <t>Javier Morales</t>
  </si>
  <si>
    <t>Bur-1</t>
  </si>
  <si>
    <t>Gabrielle Santos</t>
  </si>
  <si>
    <t>CDC-1</t>
  </si>
  <si>
    <t>Infinix-X6531</t>
  </si>
  <si>
    <t>Sun Mall</t>
  </si>
  <si>
    <t>Adrian Velasco</t>
  </si>
  <si>
    <t>KKA-2</t>
  </si>
  <si>
    <t>Infinix-X6728</t>
  </si>
  <si>
    <t>Otis</t>
  </si>
  <si>
    <t>Miguel Santoro</t>
  </si>
  <si>
    <t>ME-1</t>
  </si>
  <si>
    <t>Daniel Alvarez</t>
  </si>
  <si>
    <t>JRC-1</t>
  </si>
  <si>
    <t>Sophia Delgado</t>
  </si>
  <si>
    <t>EF-2</t>
  </si>
  <si>
    <t>Out</t>
  </si>
  <si>
    <t>Camila Torres</t>
  </si>
  <si>
    <t>MC-2</t>
  </si>
  <si>
    <t>Chrome</t>
  </si>
  <si>
    <t>VLOOKUP MATCHING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</si>
  <si>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</si>
  <si>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</si>
  <si>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</si>
  <si>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</si>
  <si>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</si>
  <si>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</si>
  <si>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</si>
  <si>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</si>
  <si>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</si>
  <si>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</si>
  <si>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</si>
  <si>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</si>
  <si>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</si>
  <si>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</si>
  <si>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</si>
  <si>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</si>
  <si>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</si>
  <si>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</si>
  <si>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</si>
  <si>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</si>
  <si>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</si>
  <si>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1/1/2026</t>
  </si>
  <si>
    <t>1/2/2026</t>
  </si>
  <si>
    <t>1/3/2026</t>
  </si>
  <si>
    <t>1/4/2026</t>
  </si>
  <si>
    <t>1/5/2026</t>
  </si>
  <si>
    <t>1/6/2026</t>
  </si>
  <si>
    <t>1/7/2026</t>
  </si>
  <si>
    <t>1/8/2026</t>
  </si>
  <si>
    <t>1/9/2026</t>
  </si>
  <si>
    <t>1/10/2026</t>
  </si>
  <si>
    <t>1st-PC-January-2026</t>
  </si>
  <si>
    <t>Miguel Santoro - 1st-PC-January-2026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</si>
</sst>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h:mm AM/PM"/>
  </numFmts>
  <fonts count="5">
    <font>
      <sz val="10"/>
      <color rgb="FF000000"/>
      <name val="Arial"/>
      <family val="2"/>
      <scheme val="minor"/>
    </font>
    <font>
      <b/>
      <sz val="11"/>
      <color theme="1"/>
      <name val="Aptos Narrow"/>
    </font>
    <font>
      <sz val="11"/>
      <color theme="1"/>
      <name val="Arial"/>
      <scheme val="minor"/>
    </font>
    <font>
      <sz val="11"/>
      <color theme="1"/>
      <name val="Aptos Narrow"/>
    </font>
    <font>
      <b/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14" fontId="3" fillId="0" borderId="0" xfId="0" applyNumberFormat="1" applyFont="1" applyAlignment="1">
      <alignment horizontal="right"/>
    </xf>
    <xf numFmtId="0" fontId="3" fillId="0" borderId="0" xfId="0" applyFont="1" applyAlignment="1"/>
    <xf numFmtId="18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8" fontId="2" fillId="0" borderId="0" xfId="0" applyNumberFormat="1" applyFont="1"/>
    <xf numFmtId="0" fontId="4" fillId="0" borderId="0" xfId="0" applyFont="1" applyAlignment="1"/>
    <xf numFmtId="49" fontId="4" fillId="0" borderId="0" xfId="0" applyNumberFormat="1" applyFont="1" applyAlignment="1"/>
    <xf numFmtId="0" fontId="2" fillId="0" borderId="0" xfId="0" applyFont="1" applyAlignment="1">
      <alignment horizontal="center"/>
    </xf>
    <xf numFmtId="49" fontId="3" fillId="0" borderId="0" xfId="0" applyNumberFormat="1" applyFont="1" applyAlignment="1">
      <alignment horizontal="right"/>
    </xf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 applyAlignment="1"/>
    <xf numFmtId="165" fontId="2" fillId="0" borderId="0" xfId="0" applyNumberFormat="1" applyFont="1" applyAlignme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theme" Target="theme/theme1.xml" /><Relationship Id="rId7" Type="http://schemas.openxmlformats.org/officeDocument/2006/relationships/calcChain" Target="calcChain.xml" /><Relationship Id="rId8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 filterMode="1">
    <outlinePr summaryRight="0" summaryBelow="0"/>
  </sheetPr>
  <sheetViews>
    <sheetView workbookViewId="0"/>
  </sheetViews>
  <sheetFormatPr defaultColWidth="12.57031" defaultRowHeight="15.75" customHeight="1"/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</row>
    <row r="2" hidden="1" ht="15.75" customHeight="1">
      <c r="A2" s="3">
        <v>46002</v>
      </c>
      <c r="B2" s="4" t="s">
        <v>15</v>
      </c>
      <c r="C2" s="4" t="s">
        <v>16</v>
      </c>
      <c r="D2" s="4" t="s">
        <v>17</v>
      </c>
      <c r="E2" s="5">
        <v>0.37291666666666667</v>
      </c>
      <c r="F2" s="6">
        <v>10.27</v>
      </c>
      <c r="G2" s="4" t="s">
        <v>18</v>
      </c>
      <c r="H2" s="4" t="s">
        <v>19</v>
      </c>
      <c r="I2" s="4" t="s">
        <v>20</v>
      </c>
      <c r="J2" s="4" t="s">
        <v>21</v>
      </c>
      <c r="N2" s="3">
        <v>46002</v>
      </c>
      <c r="O2" s="4" t="s">
        <v>15</v>
      </c>
      <c r="P2" s="5">
        <v>0.37291666666666667</v>
      </c>
      <c r="Q2" s="7">
        <f t="shared" ref="Q2:Q8" si="0">P2 + (R2 / 24)</f>
        <v>0.80083333333333329</v>
      </c>
      <c r="R2" s="6">
        <v>10.27</v>
      </c>
      <c r="S2" s="3">
        <v>46002</v>
      </c>
    </row>
    <row r="3" hidden="1" ht="15.75" customHeight="1">
      <c r="A3" s="3">
        <v>46002</v>
      </c>
      <c r="B3" s="4" t="s">
        <v>22</v>
      </c>
      <c r="C3" s="4" t="s">
        <v>23</v>
      </c>
      <c r="D3" s="4" t="s">
        <v>17</v>
      </c>
      <c r="E3" s="5">
        <v>0.39513888888888887</v>
      </c>
      <c r="F3" s="6">
        <v>9.7899999999999991</v>
      </c>
      <c r="G3" s="4" t="s">
        <v>18</v>
      </c>
      <c r="H3" s="4" t="s">
        <v>19</v>
      </c>
      <c r="I3" s="4" t="s">
        <v>20</v>
      </c>
      <c r="J3" s="4" t="s">
        <v>21</v>
      </c>
      <c r="N3" s="3">
        <v>46002</v>
      </c>
      <c r="O3" s="4" t="s">
        <v>22</v>
      </c>
      <c r="P3" s="5">
        <v>0.39513888888888887</v>
      </c>
      <c r="Q3" s="7">
        <f t="shared" si="0"/>
        <v>0.80305555555555552</v>
      </c>
      <c r="R3" s="6">
        <v>9.7899999999999991</v>
      </c>
      <c r="S3" s="3">
        <v>46003</v>
      </c>
    </row>
    <row r="4" hidden="1" ht="15.75" customHeight="1">
      <c r="A4" s="3">
        <v>46002</v>
      </c>
      <c r="B4" s="4" t="s">
        <v>24</v>
      </c>
      <c r="C4" s="4" t="s">
        <v>25</v>
      </c>
      <c r="D4" s="4" t="s">
        <v>17</v>
      </c>
      <c r="E4" s="5">
        <v>0.41458333333333336</v>
      </c>
      <c r="F4" s="6">
        <v>12.08</v>
      </c>
      <c r="G4" s="4" t="s">
        <v>26</v>
      </c>
      <c r="H4" s="4" t="s">
        <v>19</v>
      </c>
      <c r="I4" s="4" t="s">
        <v>20</v>
      </c>
      <c r="J4" s="4" t="s">
        <v>27</v>
      </c>
      <c r="N4" s="3">
        <v>46002</v>
      </c>
      <c r="O4" s="4" t="s">
        <v>24</v>
      </c>
      <c r="P4" s="5">
        <v>0.41458333333333336</v>
      </c>
      <c r="Q4" s="7">
        <f t="shared" si="0"/>
        <v>0.91791666666666671</v>
      </c>
      <c r="R4" s="6">
        <v>12.08</v>
      </c>
      <c r="S4" s="3">
        <v>46003</v>
      </c>
    </row>
    <row r="5" hidden="1" ht="15.75" customHeight="1">
      <c r="A5" s="3">
        <v>46002</v>
      </c>
      <c r="B5" s="4" t="s">
        <v>28</v>
      </c>
      <c r="C5" s="4" t="s">
        <v>29</v>
      </c>
      <c r="D5" s="4" t="s">
        <v>17</v>
      </c>
      <c r="E5" s="5">
        <v>0.41458333333333336</v>
      </c>
      <c r="F5" s="6">
        <v>12.109999999999999</v>
      </c>
      <c r="G5" s="4" t="s">
        <v>30</v>
      </c>
      <c r="H5" s="4" t="s">
        <v>19</v>
      </c>
      <c r="I5" s="4" t="s">
        <v>20</v>
      </c>
      <c r="J5" s="4" t="s">
        <v>31</v>
      </c>
      <c r="N5" s="3">
        <v>46002</v>
      </c>
      <c r="O5" s="4" t="s">
        <v>28</v>
      </c>
      <c r="P5" s="5">
        <v>0.41458333333333336</v>
      </c>
      <c r="Q5" s="7">
        <f t="shared" si="0"/>
        <v>0.91916666666666669</v>
      </c>
      <c r="R5" s="6">
        <v>12.109999999999999</v>
      </c>
      <c r="S5" s="3">
        <v>46003</v>
      </c>
    </row>
    <row r="6" hidden="1" ht="15.75" customHeight="1">
      <c r="A6" s="3">
        <v>46002</v>
      </c>
      <c r="B6" s="4" t="s">
        <v>32</v>
      </c>
      <c r="C6" s="4" t="s">
        <v>33</v>
      </c>
      <c r="D6" s="4" t="s">
        <v>17</v>
      </c>
      <c r="E6" s="5">
        <v>0.41597222222222224</v>
      </c>
      <c r="F6" s="6">
        <v>9.25</v>
      </c>
      <c r="G6" s="4" t="s">
        <v>18</v>
      </c>
      <c r="H6" s="4" t="s">
        <v>19</v>
      </c>
      <c r="I6" s="4" t="s">
        <v>20</v>
      </c>
      <c r="J6" s="4" t="s">
        <v>21</v>
      </c>
      <c r="N6" s="3">
        <v>46002</v>
      </c>
      <c r="O6" s="4" t="s">
        <v>32</v>
      </c>
      <c r="P6" s="5">
        <v>0.41597222222222224</v>
      </c>
      <c r="Q6" s="7">
        <f t="shared" si="0"/>
        <v>0.80138888888888893</v>
      </c>
      <c r="R6" s="6">
        <v>9.25</v>
      </c>
      <c r="S6" s="3">
        <v>46003</v>
      </c>
    </row>
    <row r="7" hidden="1" ht="15.75" customHeight="1">
      <c r="A7" s="3">
        <v>46002</v>
      </c>
      <c r="B7" s="4" t="s">
        <v>34</v>
      </c>
      <c r="C7" s="4" t="s">
        <v>35</v>
      </c>
      <c r="D7" s="4" t="s">
        <v>17</v>
      </c>
      <c r="E7" s="5">
        <v>0.42222222222222222</v>
      </c>
      <c r="F7" s="6">
        <v>9.2400000000000002</v>
      </c>
      <c r="G7" s="4" t="s">
        <v>18</v>
      </c>
      <c r="H7" s="4" t="s">
        <v>19</v>
      </c>
      <c r="I7" s="4" t="s">
        <v>20</v>
      </c>
      <c r="J7" s="4" t="s">
        <v>21</v>
      </c>
      <c r="N7" s="3">
        <v>46002</v>
      </c>
      <c r="O7" s="4" t="s">
        <v>34</v>
      </c>
      <c r="P7" s="5">
        <v>0.42222222222222222</v>
      </c>
      <c r="Q7" s="7">
        <f t="shared" si="0"/>
        <v>0.80722222222222229</v>
      </c>
      <c r="R7" s="6">
        <v>9.2400000000000002</v>
      </c>
      <c r="S7" s="3">
        <v>46003</v>
      </c>
    </row>
    <row r="8" hidden="1" ht="15.75" customHeight="1">
      <c r="A8" s="3">
        <v>46002</v>
      </c>
      <c r="B8" s="4" t="s">
        <v>36</v>
      </c>
      <c r="C8" s="4" t="s">
        <v>37</v>
      </c>
      <c r="D8" s="4" t="s">
        <v>17</v>
      </c>
      <c r="E8" s="5">
        <v>0.42638888888888887</v>
      </c>
      <c r="F8" s="6">
        <v>9.0199999999999996</v>
      </c>
      <c r="G8" s="4" t="s">
        <v>18</v>
      </c>
      <c r="H8" s="4" t="s">
        <v>19</v>
      </c>
      <c r="I8" s="4" t="s">
        <v>20</v>
      </c>
      <c r="J8" s="4" t="s">
        <v>21</v>
      </c>
      <c r="N8" s="3">
        <v>46002</v>
      </c>
      <c r="O8" s="4" t="s">
        <v>36</v>
      </c>
      <c r="P8" s="5">
        <v>0.42638888888888887</v>
      </c>
      <c r="Q8" s="7">
        <f t="shared" si="0"/>
        <v>0.80222222222222217</v>
      </c>
      <c r="R8" s="6">
        <v>9.0199999999999996</v>
      </c>
      <c r="S8" s="3">
        <v>46003</v>
      </c>
    </row>
    <row r="9" ht="15.75" customHeight="1">
      <c r="A9" s="3">
        <v>46002</v>
      </c>
      <c r="B9" s="4" t="s">
        <v>15</v>
      </c>
      <c r="C9" s="4" t="s">
        <v>16</v>
      </c>
      <c r="D9" s="4" t="s">
        <v>38</v>
      </c>
      <c r="E9" s="5">
        <v>0.80069444444444449</v>
      </c>
      <c r="F9" s="4"/>
      <c r="G9" s="4" t="s">
        <v>18</v>
      </c>
      <c r="H9" s="4" t="s">
        <v>19</v>
      </c>
      <c r="I9" s="4" t="s">
        <v>20</v>
      </c>
      <c r="J9" s="4" t="s">
        <v>21</v>
      </c>
    </row>
    <row r="10" ht="15.75" customHeight="1">
      <c r="A10" s="3">
        <v>46002</v>
      </c>
      <c r="B10" s="4" t="s">
        <v>32</v>
      </c>
      <c r="C10" s="4" t="s">
        <v>33</v>
      </c>
      <c r="D10" s="4" t="s">
        <v>38</v>
      </c>
      <c r="E10" s="5">
        <v>0.80138888888888893</v>
      </c>
      <c r="F10" s="4"/>
      <c r="G10" s="4" t="s">
        <v>18</v>
      </c>
      <c r="H10" s="4" t="s">
        <v>19</v>
      </c>
      <c r="I10" s="4" t="s">
        <v>20</v>
      </c>
      <c r="J10" s="4" t="s">
        <v>21</v>
      </c>
    </row>
    <row r="11" ht="15.75" customHeight="1">
      <c r="A11" s="3">
        <v>46002</v>
      </c>
      <c r="B11" s="4" t="s">
        <v>36</v>
      </c>
      <c r="C11" s="4" t="s">
        <v>37</v>
      </c>
      <c r="D11" s="4" t="s">
        <v>38</v>
      </c>
      <c r="E11" s="5">
        <v>0.80208333333333337</v>
      </c>
      <c r="F11" s="4"/>
      <c r="G11" s="4" t="s">
        <v>18</v>
      </c>
      <c r="H11" s="4" t="s">
        <v>19</v>
      </c>
      <c r="I11" s="4" t="s">
        <v>20</v>
      </c>
      <c r="J11" s="4" t="s">
        <v>21</v>
      </c>
    </row>
    <row r="12" ht="15.75" customHeight="1">
      <c r="A12" s="3">
        <v>46002</v>
      </c>
      <c r="B12" s="4" t="s">
        <v>22</v>
      </c>
      <c r="C12" s="4" t="s">
        <v>23</v>
      </c>
      <c r="D12" s="4" t="s">
        <v>38</v>
      </c>
      <c r="E12" s="5">
        <v>0.80277777777777781</v>
      </c>
      <c r="F12" s="4"/>
      <c r="G12" s="4" t="s">
        <v>18</v>
      </c>
      <c r="H12" s="4" t="s">
        <v>19</v>
      </c>
      <c r="I12" s="4" t="s">
        <v>20</v>
      </c>
      <c r="J12" s="4" t="s">
        <v>21</v>
      </c>
    </row>
    <row r="13" ht="15.75" customHeight="1">
      <c r="A13" s="3">
        <v>46002</v>
      </c>
      <c r="B13" s="4" t="s">
        <v>34</v>
      </c>
      <c r="C13" s="4" t="s">
        <v>35</v>
      </c>
      <c r="D13" s="4" t="s">
        <v>38</v>
      </c>
      <c r="E13" s="5">
        <v>0.80694444444444446</v>
      </c>
      <c r="F13" s="4"/>
      <c r="G13" s="4" t="s">
        <v>18</v>
      </c>
      <c r="H13" s="4" t="s">
        <v>19</v>
      </c>
      <c r="I13" s="4" t="s">
        <v>20</v>
      </c>
      <c r="J13" s="4" t="s">
        <v>21</v>
      </c>
    </row>
    <row r="14" ht="15.75" customHeight="1">
      <c r="A14" s="3">
        <v>46002</v>
      </c>
      <c r="B14" s="4" t="s">
        <v>24</v>
      </c>
      <c r="C14" s="4" t="s">
        <v>25</v>
      </c>
      <c r="D14" s="4" t="s">
        <v>38</v>
      </c>
      <c r="E14" s="5">
        <v>0.91736111111111107</v>
      </c>
      <c r="F14" s="4"/>
      <c r="G14" s="4" t="s">
        <v>26</v>
      </c>
      <c r="H14" s="4" t="s">
        <v>19</v>
      </c>
      <c r="I14" s="4" t="s">
        <v>20</v>
      </c>
      <c r="J14" s="4" t="s">
        <v>27</v>
      </c>
    </row>
    <row r="15" ht="15.75" customHeight="1">
      <c r="A15" s="3">
        <v>46002</v>
      </c>
      <c r="B15" s="4" t="s">
        <v>28</v>
      </c>
      <c r="C15" s="4" t="s">
        <v>29</v>
      </c>
      <c r="D15" s="4" t="s">
        <v>38</v>
      </c>
      <c r="E15" s="5">
        <v>0.9194444444444444</v>
      </c>
      <c r="F15" s="4"/>
      <c r="G15" s="4" t="s">
        <v>30</v>
      </c>
      <c r="H15" s="4" t="s">
        <v>19</v>
      </c>
      <c r="I15" s="4" t="s">
        <v>20</v>
      </c>
      <c r="J15" s="4" t="s">
        <v>31</v>
      </c>
    </row>
    <row r="16" hidden="1" ht="15.75" customHeight="1">
      <c r="A16" s="3">
        <v>46003</v>
      </c>
      <c r="B16" s="4" t="s">
        <v>15</v>
      </c>
      <c r="C16" s="4" t="s">
        <v>16</v>
      </c>
      <c r="D16" s="4" t="s">
        <v>17</v>
      </c>
      <c r="E16" s="5">
        <v>0.37361111111111112</v>
      </c>
      <c r="F16" s="6">
        <v>10.08</v>
      </c>
      <c r="G16" s="4" t="s">
        <v>18</v>
      </c>
      <c r="H16" s="4" t="s">
        <v>19</v>
      </c>
      <c r="I16" s="4" t="s">
        <v>20</v>
      </c>
      <c r="J16" s="4" t="s">
        <v>21</v>
      </c>
      <c r="N16" s="3">
        <v>46003</v>
      </c>
      <c r="O16" s="4" t="s">
        <v>15</v>
      </c>
      <c r="P16" s="5">
        <v>0.37361111111111112</v>
      </c>
      <c r="Q16" s="7">
        <f t="shared" ref="Q16:Q22" si="1">P16 + (R16 / 24)</f>
        <v>0.79361111111111104</v>
      </c>
      <c r="R16" s="6">
        <v>10.08</v>
      </c>
      <c r="S16" s="3">
        <v>46003</v>
      </c>
    </row>
    <row r="17" hidden="1" ht="15.75" customHeight="1">
      <c r="A17" s="3">
        <v>46003</v>
      </c>
      <c r="B17" s="4" t="s">
        <v>22</v>
      </c>
      <c r="C17" s="4" t="s">
        <v>23</v>
      </c>
      <c r="D17" s="4" t="s">
        <v>17</v>
      </c>
      <c r="E17" s="5">
        <v>0.38750000000000001</v>
      </c>
      <c r="F17" s="6">
        <v>9.75</v>
      </c>
      <c r="G17" s="4" t="s">
        <v>18</v>
      </c>
      <c r="H17" s="4" t="s">
        <v>19</v>
      </c>
      <c r="I17" s="4" t="s">
        <v>20</v>
      </c>
      <c r="J17" s="4" t="s">
        <v>21</v>
      </c>
      <c r="N17" s="3">
        <v>46003</v>
      </c>
      <c r="O17" s="4" t="s">
        <v>22</v>
      </c>
      <c r="P17" s="5">
        <v>0.38750000000000001</v>
      </c>
      <c r="Q17" s="7">
        <f t="shared" si="1"/>
        <v>0.79374999999999996</v>
      </c>
      <c r="R17" s="6">
        <v>9.75</v>
      </c>
      <c r="S17" s="3">
        <v>46004</v>
      </c>
    </row>
    <row r="18" hidden="1" ht="15.75" customHeight="1">
      <c r="A18" s="3">
        <v>46003</v>
      </c>
      <c r="B18" s="4" t="s">
        <v>28</v>
      </c>
      <c r="C18" s="4" t="s">
        <v>29</v>
      </c>
      <c r="D18" s="4" t="s">
        <v>17</v>
      </c>
      <c r="E18" s="5">
        <v>0.41041666666666665</v>
      </c>
      <c r="F18" s="6">
        <v>12.199999999999999</v>
      </c>
      <c r="G18" s="4" t="s">
        <v>30</v>
      </c>
      <c r="H18" s="4" t="s">
        <v>19</v>
      </c>
      <c r="I18" s="4" t="s">
        <v>20</v>
      </c>
      <c r="J18" s="4" t="s">
        <v>31</v>
      </c>
      <c r="N18" s="3">
        <v>46003</v>
      </c>
      <c r="O18" s="4" t="s">
        <v>28</v>
      </c>
      <c r="P18" s="5">
        <v>0.41041666666666665</v>
      </c>
      <c r="Q18" s="7">
        <f t="shared" si="1"/>
        <v>0.91874999999999996</v>
      </c>
      <c r="R18" s="6">
        <v>12.199999999999999</v>
      </c>
      <c r="S18" s="3">
        <v>46004</v>
      </c>
    </row>
    <row r="19" hidden="1" ht="15.75" customHeight="1">
      <c r="A19" s="3">
        <v>46003</v>
      </c>
      <c r="B19" s="4" t="s">
        <v>39</v>
      </c>
      <c r="C19" s="4" t="s">
        <v>40</v>
      </c>
      <c r="D19" s="4" t="s">
        <v>17</v>
      </c>
      <c r="E19" s="5">
        <v>0.4152777777777778</v>
      </c>
      <c r="F19" s="6">
        <v>9.0600000000000005</v>
      </c>
      <c r="G19" s="4" t="s">
        <v>18</v>
      </c>
      <c r="H19" s="4" t="s">
        <v>19</v>
      </c>
      <c r="I19" s="4" t="s">
        <v>20</v>
      </c>
      <c r="J19" s="4" t="s">
        <v>21</v>
      </c>
      <c r="N19" s="3">
        <v>46003</v>
      </c>
      <c r="O19" s="4" t="s">
        <v>39</v>
      </c>
      <c r="P19" s="5">
        <v>0.4152777777777778</v>
      </c>
      <c r="Q19" s="7">
        <f t="shared" si="1"/>
        <v>0.7927777777777778</v>
      </c>
      <c r="R19" s="6">
        <v>9.0600000000000005</v>
      </c>
      <c r="S19" s="3">
        <v>46004</v>
      </c>
    </row>
    <row r="20" hidden="1" ht="15.75" customHeight="1">
      <c r="A20" s="3">
        <v>46003</v>
      </c>
      <c r="B20" s="4" t="s">
        <v>24</v>
      </c>
      <c r="C20" s="4" t="s">
        <v>25</v>
      </c>
      <c r="D20" s="4" t="s">
        <v>17</v>
      </c>
      <c r="E20" s="5">
        <v>0.41666666666666669</v>
      </c>
      <c r="F20" s="6">
        <v>12.08</v>
      </c>
      <c r="G20" s="4" t="s">
        <v>26</v>
      </c>
      <c r="H20" s="4" t="s">
        <v>19</v>
      </c>
      <c r="I20" s="4" t="s">
        <v>20</v>
      </c>
      <c r="J20" s="4" t="s">
        <v>27</v>
      </c>
      <c r="N20" s="3">
        <v>46003</v>
      </c>
      <c r="O20" s="4" t="s">
        <v>24</v>
      </c>
      <c r="P20" s="5">
        <v>0.41666666666666669</v>
      </c>
      <c r="Q20" s="7">
        <f t="shared" si="1"/>
        <v>0.91999999999999993</v>
      </c>
      <c r="R20" s="6">
        <v>12.08</v>
      </c>
      <c r="S20" s="3">
        <v>46004</v>
      </c>
    </row>
    <row r="21" hidden="1" ht="15.75" customHeight="1">
      <c r="A21" s="3">
        <v>46003</v>
      </c>
      <c r="B21" s="4" t="s">
        <v>36</v>
      </c>
      <c r="C21" s="4" t="s">
        <v>37</v>
      </c>
      <c r="D21" s="4" t="s">
        <v>17</v>
      </c>
      <c r="E21" s="5">
        <v>0.42152777777777778</v>
      </c>
      <c r="F21" s="6">
        <v>8.9100000000000001</v>
      </c>
      <c r="G21" s="4" t="s">
        <v>18</v>
      </c>
      <c r="H21" s="4" t="s">
        <v>19</v>
      </c>
      <c r="I21" s="4" t="s">
        <v>20</v>
      </c>
      <c r="J21" s="4" t="s">
        <v>21</v>
      </c>
      <c r="N21" s="3">
        <v>46003</v>
      </c>
      <c r="O21" s="4" t="s">
        <v>36</v>
      </c>
      <c r="P21" s="5">
        <v>0.42152777777777778</v>
      </c>
      <c r="Q21" s="7">
        <f t="shared" si="1"/>
        <v>0.7927777777777778</v>
      </c>
      <c r="R21" s="6">
        <v>8.9100000000000001</v>
      </c>
      <c r="S21" s="3">
        <v>46004</v>
      </c>
    </row>
    <row r="22" hidden="1" ht="15.75" customHeight="1">
      <c r="A22" s="3">
        <v>46003</v>
      </c>
      <c r="B22" s="4" t="s">
        <v>34</v>
      </c>
      <c r="C22" s="4" t="s">
        <v>35</v>
      </c>
      <c r="D22" s="4" t="s">
        <v>17</v>
      </c>
      <c r="E22" s="5">
        <v>0.43055555555555558</v>
      </c>
      <c r="F22" s="6">
        <v>8.7100000000000009</v>
      </c>
      <c r="G22" s="4" t="s">
        <v>18</v>
      </c>
      <c r="H22" s="4" t="s">
        <v>19</v>
      </c>
      <c r="I22" s="4" t="s">
        <v>20</v>
      </c>
      <c r="J22" s="4" t="s">
        <v>21</v>
      </c>
      <c r="N22" s="3">
        <v>46003</v>
      </c>
      <c r="O22" s="4" t="s">
        <v>34</v>
      </c>
      <c r="P22" s="5">
        <v>0.43055555555555558</v>
      </c>
      <c r="Q22" s="7">
        <f t="shared" si="1"/>
        <v>0.79347222222222236</v>
      </c>
      <c r="R22" s="6">
        <v>8.7100000000000009</v>
      </c>
      <c r="S22" s="3">
        <v>46004</v>
      </c>
    </row>
    <row r="23" ht="15.75" customHeight="1">
      <c r="A23" s="3">
        <v>46003</v>
      </c>
      <c r="B23" s="4" t="s">
        <v>39</v>
      </c>
      <c r="C23" s="4" t="s">
        <v>40</v>
      </c>
      <c r="D23" s="4" t="s">
        <v>38</v>
      </c>
      <c r="E23" s="5">
        <v>0.79236111111111107</v>
      </c>
      <c r="F23" s="4"/>
      <c r="G23" s="4" t="s">
        <v>18</v>
      </c>
      <c r="H23" s="4" t="s">
        <v>19</v>
      </c>
      <c r="I23" s="4" t="s">
        <v>20</v>
      </c>
      <c r="J23" s="4" t="s">
        <v>21</v>
      </c>
    </row>
    <row r="24" ht="15.75" customHeight="1">
      <c r="A24" s="3">
        <v>46003</v>
      </c>
      <c r="B24" s="4" t="s">
        <v>36</v>
      </c>
      <c r="C24" s="4" t="s">
        <v>37</v>
      </c>
      <c r="D24" s="4" t="s">
        <v>38</v>
      </c>
      <c r="E24" s="5">
        <v>0.79305555555555551</v>
      </c>
      <c r="F24" s="4"/>
      <c r="G24" s="4" t="s">
        <v>18</v>
      </c>
      <c r="H24" s="4" t="s">
        <v>19</v>
      </c>
      <c r="I24" s="4" t="s">
        <v>20</v>
      </c>
      <c r="J24" s="4" t="s">
        <v>21</v>
      </c>
    </row>
    <row r="25" ht="15.75" customHeight="1">
      <c r="A25" s="3">
        <v>46003</v>
      </c>
      <c r="B25" s="4" t="s">
        <v>15</v>
      </c>
      <c r="C25" s="4" t="s">
        <v>16</v>
      </c>
      <c r="D25" s="4" t="s">
        <v>38</v>
      </c>
      <c r="E25" s="5">
        <v>0.79305555555555551</v>
      </c>
      <c r="F25" s="4"/>
      <c r="G25" s="4" t="s">
        <v>18</v>
      </c>
      <c r="H25" s="4" t="s">
        <v>19</v>
      </c>
      <c r="I25" s="4" t="s">
        <v>20</v>
      </c>
      <c r="J25" s="4" t="s">
        <v>21</v>
      </c>
    </row>
    <row r="26" ht="15.75" customHeight="1">
      <c r="A26" s="3">
        <v>46003</v>
      </c>
      <c r="B26" s="4" t="s">
        <v>34</v>
      </c>
      <c r="C26" s="4" t="s">
        <v>35</v>
      </c>
      <c r="D26" s="4" t="s">
        <v>38</v>
      </c>
      <c r="E26" s="5">
        <v>0.79374999999999996</v>
      </c>
      <c r="F26" s="4"/>
      <c r="G26" s="4" t="s">
        <v>18</v>
      </c>
      <c r="H26" s="4" t="s">
        <v>19</v>
      </c>
      <c r="I26" s="4" t="s">
        <v>20</v>
      </c>
      <c r="J26" s="4" t="s">
        <v>21</v>
      </c>
    </row>
    <row r="27" ht="15.75" customHeight="1">
      <c r="A27" s="3">
        <v>46003</v>
      </c>
      <c r="B27" s="4" t="s">
        <v>22</v>
      </c>
      <c r="C27" s="4" t="s">
        <v>23</v>
      </c>
      <c r="D27" s="4" t="s">
        <v>38</v>
      </c>
      <c r="E27" s="5">
        <v>0.79374999999999996</v>
      </c>
      <c r="F27" s="4"/>
      <c r="G27" s="4" t="s">
        <v>18</v>
      </c>
      <c r="H27" s="4" t="s">
        <v>19</v>
      </c>
      <c r="I27" s="4" t="s">
        <v>20</v>
      </c>
      <c r="J27" s="4" t="s">
        <v>21</v>
      </c>
    </row>
    <row r="28" ht="15.75" customHeight="1">
      <c r="A28" s="3">
        <v>46003</v>
      </c>
      <c r="B28" s="4" t="s">
        <v>28</v>
      </c>
      <c r="C28" s="4" t="s">
        <v>29</v>
      </c>
      <c r="D28" s="4" t="s">
        <v>38</v>
      </c>
      <c r="E28" s="5">
        <v>0.9194444444444444</v>
      </c>
      <c r="F28" s="4"/>
      <c r="G28" s="4" t="s">
        <v>30</v>
      </c>
      <c r="H28" s="4" t="s">
        <v>19</v>
      </c>
      <c r="I28" s="4" t="s">
        <v>20</v>
      </c>
      <c r="J28" s="4" t="s">
        <v>31</v>
      </c>
    </row>
    <row r="29" ht="15.75" customHeight="1">
      <c r="A29" s="3">
        <v>46003</v>
      </c>
      <c r="B29" s="4" t="s">
        <v>24</v>
      </c>
      <c r="C29" s="4" t="s">
        <v>25</v>
      </c>
      <c r="D29" s="4" t="s">
        <v>38</v>
      </c>
      <c r="E29" s="5">
        <v>0.92013888888888884</v>
      </c>
      <c r="F29" s="4"/>
      <c r="G29" s="4" t="s">
        <v>26</v>
      </c>
      <c r="H29" s="4" t="s">
        <v>19</v>
      </c>
      <c r="I29" s="4" t="s">
        <v>20</v>
      </c>
      <c r="J29" s="4" t="s">
        <v>27</v>
      </c>
    </row>
    <row r="30" hidden="1" ht="15.75" customHeight="1">
      <c r="A30" s="3">
        <v>46004</v>
      </c>
      <c r="B30" s="4" t="s">
        <v>15</v>
      </c>
      <c r="C30" s="4" t="s">
        <v>16</v>
      </c>
      <c r="D30" s="4" t="s">
        <v>17</v>
      </c>
      <c r="E30" s="5">
        <v>0.375</v>
      </c>
      <c r="F30" s="6">
        <v>10.050000000000001</v>
      </c>
      <c r="G30" s="4" t="s">
        <v>18</v>
      </c>
      <c r="H30" s="4" t="s">
        <v>19</v>
      </c>
      <c r="I30" s="4" t="s">
        <v>20</v>
      </c>
      <c r="J30" s="4" t="s">
        <v>21</v>
      </c>
      <c r="N30" s="3">
        <v>46004</v>
      </c>
      <c r="O30" s="4" t="s">
        <v>15</v>
      </c>
      <c r="P30" s="5">
        <v>0.375</v>
      </c>
      <c r="Q30" s="7">
        <f t="shared" ref="Q30:Q35" si="2">P30 + (R30 / 24)</f>
        <v>0.79374999999999996</v>
      </c>
      <c r="R30" s="6">
        <v>10.050000000000001</v>
      </c>
      <c r="S30" s="3">
        <v>46005</v>
      </c>
    </row>
    <row r="31" hidden="1" ht="15.75" customHeight="1">
      <c r="A31" s="3">
        <v>46004</v>
      </c>
      <c r="B31" s="4" t="s">
        <v>22</v>
      </c>
      <c r="C31" s="4" t="s">
        <v>23</v>
      </c>
      <c r="D31" s="4" t="s">
        <v>17</v>
      </c>
      <c r="E31" s="5">
        <v>0.39930555555555558</v>
      </c>
      <c r="F31" s="6">
        <v>12.91</v>
      </c>
      <c r="G31" s="4" t="s">
        <v>18</v>
      </c>
      <c r="H31" s="4" t="s">
        <v>19</v>
      </c>
      <c r="I31" s="4" t="s">
        <v>20</v>
      </c>
      <c r="J31" s="4" t="s">
        <v>21</v>
      </c>
      <c r="N31" s="3">
        <v>46004</v>
      </c>
      <c r="O31" s="4" t="s">
        <v>22</v>
      </c>
      <c r="P31" s="5">
        <v>0.39930555555555558</v>
      </c>
      <c r="Q31" s="7">
        <f t="shared" si="2"/>
        <v>0.93722222222222229</v>
      </c>
      <c r="R31" s="6">
        <v>12.91</v>
      </c>
      <c r="S31" s="3">
        <v>46005</v>
      </c>
    </row>
    <row r="32" hidden="1" ht="15.75" customHeight="1">
      <c r="A32" s="3">
        <v>46004</v>
      </c>
      <c r="B32" s="4" t="s">
        <v>32</v>
      </c>
      <c r="C32" s="4" t="s">
        <v>33</v>
      </c>
      <c r="D32" s="4" t="s">
        <v>17</v>
      </c>
      <c r="E32" s="5">
        <v>0.40000000000000002</v>
      </c>
      <c r="F32" s="6">
        <v>9.4199999999999999</v>
      </c>
      <c r="G32" s="4" t="s">
        <v>18</v>
      </c>
      <c r="H32" s="4" t="s">
        <v>19</v>
      </c>
      <c r="I32" s="4" t="s">
        <v>20</v>
      </c>
      <c r="J32" s="4" t="s">
        <v>21</v>
      </c>
      <c r="N32" s="3">
        <v>46004</v>
      </c>
      <c r="O32" s="4" t="s">
        <v>32</v>
      </c>
      <c r="P32" s="5">
        <v>0.40000000000000002</v>
      </c>
      <c r="Q32" s="7">
        <f t="shared" si="2"/>
        <v>0.79249999999999998</v>
      </c>
      <c r="R32" s="6">
        <v>9.4199999999999999</v>
      </c>
      <c r="S32" s="3">
        <v>46005</v>
      </c>
    </row>
    <row r="33" hidden="1" ht="15.75" customHeight="1">
      <c r="A33" s="3">
        <v>46004</v>
      </c>
      <c r="B33" s="4" t="s">
        <v>24</v>
      </c>
      <c r="C33" s="4" t="s">
        <v>25</v>
      </c>
      <c r="D33" s="4" t="s">
        <v>17</v>
      </c>
      <c r="E33" s="5">
        <v>0.41111111111111109</v>
      </c>
      <c r="F33" s="6">
        <v>12.18</v>
      </c>
      <c r="G33" s="4" t="s">
        <v>26</v>
      </c>
      <c r="H33" s="4" t="s">
        <v>19</v>
      </c>
      <c r="I33" s="4" t="s">
        <v>20</v>
      </c>
      <c r="J33" s="4" t="s">
        <v>27</v>
      </c>
      <c r="N33" s="3">
        <v>46004</v>
      </c>
      <c r="O33" s="4" t="s">
        <v>24</v>
      </c>
      <c r="P33" s="5">
        <v>0.41111111111111109</v>
      </c>
      <c r="Q33" s="7">
        <f t="shared" si="2"/>
        <v>0.91861111111111104</v>
      </c>
      <c r="R33" s="6">
        <v>12.18</v>
      </c>
      <c r="S33" s="3">
        <v>46005</v>
      </c>
    </row>
    <row r="34" hidden="1" ht="15.75" customHeight="1">
      <c r="A34" s="3">
        <v>46004</v>
      </c>
      <c r="B34" s="4" t="s">
        <v>28</v>
      </c>
      <c r="C34" s="4" t="s">
        <v>29</v>
      </c>
      <c r="D34" s="4" t="s">
        <v>17</v>
      </c>
      <c r="E34" s="5">
        <v>0.41249999999999998</v>
      </c>
      <c r="F34" s="6">
        <v>12.119999999999999</v>
      </c>
      <c r="G34" s="4" t="s">
        <v>30</v>
      </c>
      <c r="H34" s="4" t="s">
        <v>19</v>
      </c>
      <c r="I34" s="4" t="s">
        <v>20</v>
      </c>
      <c r="J34" s="4" t="s">
        <v>31</v>
      </c>
      <c r="N34" s="3">
        <v>46004</v>
      </c>
      <c r="O34" s="4" t="s">
        <v>28</v>
      </c>
      <c r="P34" s="5">
        <v>0.41249999999999998</v>
      </c>
      <c r="Q34" s="7">
        <f t="shared" si="2"/>
        <v>0.91749999999999998</v>
      </c>
      <c r="R34" s="6">
        <v>12.119999999999999</v>
      </c>
      <c r="S34" s="3">
        <v>46005</v>
      </c>
    </row>
    <row r="35" hidden="1" ht="15.75" customHeight="1">
      <c r="A35" s="3">
        <v>46004</v>
      </c>
      <c r="B35" s="4" t="s">
        <v>36</v>
      </c>
      <c r="C35" s="4" t="s">
        <v>37</v>
      </c>
      <c r="D35" s="4" t="s">
        <v>17</v>
      </c>
      <c r="E35" s="5">
        <v>0.42499999999999999</v>
      </c>
      <c r="F35" s="6">
        <v>5.6600000000000001</v>
      </c>
      <c r="G35" s="4" t="s">
        <v>18</v>
      </c>
      <c r="H35" s="4" t="s">
        <v>19</v>
      </c>
      <c r="I35" s="4" t="s">
        <v>20</v>
      </c>
      <c r="J35" s="4" t="s">
        <v>21</v>
      </c>
      <c r="N35" s="3">
        <v>46004</v>
      </c>
      <c r="O35" s="4" t="s">
        <v>36</v>
      </c>
      <c r="P35" s="5">
        <v>0.42499999999999999</v>
      </c>
      <c r="Q35" s="7">
        <f t="shared" si="2"/>
        <v>0.66083333333333338</v>
      </c>
      <c r="R35" s="6">
        <v>5.6600000000000001</v>
      </c>
      <c r="S35" s="3">
        <v>46005</v>
      </c>
    </row>
    <row r="36" ht="15.75" customHeight="1">
      <c r="A36" s="3">
        <v>46004</v>
      </c>
      <c r="B36" s="4" t="s">
        <v>36</v>
      </c>
      <c r="C36" s="4" t="s">
        <v>37</v>
      </c>
      <c r="D36" s="4" t="s">
        <v>38</v>
      </c>
      <c r="E36" s="5">
        <v>0.66111111111111109</v>
      </c>
      <c r="F36" s="4"/>
      <c r="G36" s="4" t="s">
        <v>18</v>
      </c>
      <c r="H36" s="4" t="s">
        <v>19</v>
      </c>
      <c r="I36" s="4" t="s">
        <v>20</v>
      </c>
      <c r="J36" s="4" t="s">
        <v>21</v>
      </c>
    </row>
    <row r="37" ht="15.75" customHeight="1">
      <c r="A37" s="3">
        <v>46004</v>
      </c>
      <c r="B37" s="4" t="s">
        <v>32</v>
      </c>
      <c r="C37" s="4" t="s">
        <v>33</v>
      </c>
      <c r="D37" s="4" t="s">
        <v>38</v>
      </c>
      <c r="E37" s="5">
        <v>0.79236111111111107</v>
      </c>
      <c r="F37" s="4"/>
      <c r="G37" s="4" t="s">
        <v>18</v>
      </c>
      <c r="H37" s="4" t="s">
        <v>19</v>
      </c>
      <c r="I37" s="4" t="s">
        <v>20</v>
      </c>
      <c r="J37" s="4" t="s">
        <v>21</v>
      </c>
    </row>
    <row r="38" ht="15.75" customHeight="1">
      <c r="A38" s="3">
        <v>46004</v>
      </c>
      <c r="B38" s="4" t="s">
        <v>15</v>
      </c>
      <c r="C38" s="4" t="s">
        <v>16</v>
      </c>
      <c r="D38" s="4" t="s">
        <v>38</v>
      </c>
      <c r="E38" s="5">
        <v>0.79374999999999996</v>
      </c>
      <c r="F38" s="4"/>
      <c r="G38" s="4" t="s">
        <v>18</v>
      </c>
      <c r="H38" s="4" t="s">
        <v>19</v>
      </c>
      <c r="I38" s="4" t="s">
        <v>20</v>
      </c>
      <c r="J38" s="4" t="s">
        <v>21</v>
      </c>
    </row>
    <row r="39" ht="15.75" customHeight="1">
      <c r="A39" s="3">
        <v>46004</v>
      </c>
      <c r="B39" s="4" t="s">
        <v>28</v>
      </c>
      <c r="C39" s="4" t="s">
        <v>29</v>
      </c>
      <c r="D39" s="4" t="s">
        <v>38</v>
      </c>
      <c r="E39" s="5">
        <v>0.91736111111111107</v>
      </c>
      <c r="F39" s="4"/>
      <c r="G39" s="4" t="s">
        <v>30</v>
      </c>
      <c r="H39" s="4" t="s">
        <v>19</v>
      </c>
      <c r="I39" s="4" t="s">
        <v>20</v>
      </c>
      <c r="J39" s="4" t="s">
        <v>31</v>
      </c>
    </row>
    <row r="40" ht="15.75" customHeight="1">
      <c r="A40" s="3">
        <v>46004</v>
      </c>
      <c r="B40" s="4" t="s">
        <v>24</v>
      </c>
      <c r="C40" s="4" t="s">
        <v>25</v>
      </c>
      <c r="D40" s="4" t="s">
        <v>38</v>
      </c>
      <c r="E40" s="5">
        <v>0.91874999999999996</v>
      </c>
      <c r="F40" s="4"/>
      <c r="G40" s="4" t="s">
        <v>26</v>
      </c>
      <c r="H40" s="4" t="s">
        <v>19</v>
      </c>
      <c r="I40" s="4" t="s">
        <v>20</v>
      </c>
      <c r="J40" s="4" t="s">
        <v>27</v>
      </c>
    </row>
    <row r="41" ht="15.75" customHeight="1">
      <c r="A41" s="3">
        <v>46004</v>
      </c>
      <c r="B41" s="4" t="s">
        <v>22</v>
      </c>
      <c r="C41" s="4" t="s">
        <v>23</v>
      </c>
      <c r="D41" s="4" t="s">
        <v>38</v>
      </c>
      <c r="E41" s="5">
        <v>0.9375</v>
      </c>
      <c r="F41" s="4"/>
      <c r="G41" s="4"/>
      <c r="H41" s="4" t="s">
        <v>19</v>
      </c>
      <c r="I41" s="4"/>
      <c r="J41" s="4"/>
    </row>
    <row r="42" hidden="1" ht="15.75" customHeight="1">
      <c r="A42" s="3">
        <v>46005</v>
      </c>
      <c r="B42" s="4" t="s">
        <v>15</v>
      </c>
      <c r="C42" s="4" t="s">
        <v>16</v>
      </c>
      <c r="D42" s="4" t="s">
        <v>17</v>
      </c>
      <c r="E42" s="5">
        <v>0.37083333333333335</v>
      </c>
      <c r="F42" s="6">
        <v>10.210000000000001</v>
      </c>
      <c r="G42" s="4" t="s">
        <v>18</v>
      </c>
      <c r="H42" s="4" t="s">
        <v>19</v>
      </c>
      <c r="I42" s="4" t="s">
        <v>20</v>
      </c>
      <c r="J42" s="4" t="s">
        <v>21</v>
      </c>
      <c r="N42" s="3">
        <v>46005</v>
      </c>
      <c r="O42" s="4" t="s">
        <v>15</v>
      </c>
      <c r="P42" s="5">
        <v>0.37083333333333335</v>
      </c>
      <c r="Q42" s="7">
        <f t="shared" ref="Q42:Q47" si="3">P42 + (R42 / 24)</f>
        <v>0.79625000000000012</v>
      </c>
      <c r="R42" s="6">
        <v>10.210000000000001</v>
      </c>
      <c r="S42" s="3">
        <v>46006</v>
      </c>
    </row>
    <row r="43" hidden="1" ht="15.75" customHeight="1">
      <c r="A43" s="3">
        <v>46005</v>
      </c>
      <c r="B43" s="4" t="s">
        <v>22</v>
      </c>
      <c r="C43" s="4" t="s">
        <v>23</v>
      </c>
      <c r="D43" s="4" t="s">
        <v>17</v>
      </c>
      <c r="E43" s="5">
        <v>0.39374999999999999</v>
      </c>
      <c r="F43" s="6">
        <v>9.75</v>
      </c>
      <c r="G43" s="4" t="s">
        <v>18</v>
      </c>
      <c r="H43" s="4" t="s">
        <v>19</v>
      </c>
      <c r="I43" s="4" t="s">
        <v>20</v>
      </c>
      <c r="J43" s="4" t="s">
        <v>21</v>
      </c>
      <c r="N43" s="3">
        <v>46005</v>
      </c>
      <c r="O43" s="4" t="s">
        <v>22</v>
      </c>
      <c r="P43" s="5">
        <v>0.39374999999999999</v>
      </c>
      <c r="Q43" s="7">
        <f t="shared" si="3"/>
        <v>0.80000000000000004</v>
      </c>
      <c r="R43" s="6">
        <v>9.75</v>
      </c>
      <c r="S43" s="3">
        <v>46006</v>
      </c>
    </row>
    <row r="44" hidden="1" ht="15.75" customHeight="1">
      <c r="A44" s="3">
        <v>46005</v>
      </c>
      <c r="B44" s="4" t="s">
        <v>32</v>
      </c>
      <c r="C44" s="4" t="s">
        <v>33</v>
      </c>
      <c r="D44" s="4" t="s">
        <v>17</v>
      </c>
      <c r="E44" s="5">
        <v>0.41111111111111109</v>
      </c>
      <c r="F44" s="6">
        <v>9.2200000000000006</v>
      </c>
      <c r="G44" s="4" t="s">
        <v>18</v>
      </c>
      <c r="H44" s="4" t="s">
        <v>19</v>
      </c>
      <c r="I44" s="4" t="s">
        <v>20</v>
      </c>
      <c r="J44" s="4" t="s">
        <v>21</v>
      </c>
      <c r="N44" s="3">
        <v>46005</v>
      </c>
      <c r="O44" s="4" t="s">
        <v>32</v>
      </c>
      <c r="P44" s="5">
        <v>0.41111111111111109</v>
      </c>
      <c r="Q44" s="7">
        <f t="shared" si="3"/>
        <v>0.79527777777777775</v>
      </c>
      <c r="R44" s="6">
        <v>9.2200000000000006</v>
      </c>
      <c r="S44" s="3">
        <v>46006</v>
      </c>
    </row>
    <row r="45" hidden="1" ht="15.75" customHeight="1">
      <c r="A45" s="3">
        <v>46005</v>
      </c>
      <c r="B45" s="4" t="s">
        <v>24</v>
      </c>
      <c r="C45" s="4" t="s">
        <v>25</v>
      </c>
      <c r="D45" s="4" t="s">
        <v>17</v>
      </c>
      <c r="E45" s="5">
        <v>0.41319444444444442</v>
      </c>
      <c r="F45" s="6">
        <v>12.09</v>
      </c>
      <c r="G45" s="4" t="s">
        <v>26</v>
      </c>
      <c r="H45" s="4" t="s">
        <v>19</v>
      </c>
      <c r="I45" s="4" t="s">
        <v>20</v>
      </c>
      <c r="J45" s="4" t="s">
        <v>27</v>
      </c>
      <c r="N45" s="3">
        <v>46005</v>
      </c>
      <c r="O45" s="4" t="s">
        <v>24</v>
      </c>
      <c r="P45" s="5">
        <v>0.41319444444444442</v>
      </c>
      <c r="Q45" s="7">
        <f t="shared" si="3"/>
        <v>0.91694444444444445</v>
      </c>
      <c r="R45" s="6">
        <v>12.09</v>
      </c>
      <c r="S45" s="3">
        <v>46006</v>
      </c>
    </row>
    <row r="46" hidden="1" ht="15.75" customHeight="1">
      <c r="A46" s="3">
        <v>46005</v>
      </c>
      <c r="B46" s="4" t="s">
        <v>28</v>
      </c>
      <c r="C46" s="4" t="s">
        <v>29</v>
      </c>
      <c r="D46" s="4" t="s">
        <v>17</v>
      </c>
      <c r="E46" s="5">
        <v>0.41388888888888886</v>
      </c>
      <c r="F46" s="6">
        <v>12.07</v>
      </c>
      <c r="G46" s="4" t="s">
        <v>30</v>
      </c>
      <c r="H46" s="4" t="s">
        <v>19</v>
      </c>
      <c r="I46" s="4" t="s">
        <v>20</v>
      </c>
      <c r="J46" s="4" t="s">
        <v>31</v>
      </c>
      <c r="N46" s="3">
        <v>46005</v>
      </c>
      <c r="O46" s="4" t="s">
        <v>28</v>
      </c>
      <c r="P46" s="5">
        <v>0.41388888888888886</v>
      </c>
      <c r="Q46" s="7">
        <f t="shared" si="3"/>
        <v>0.91680555555555554</v>
      </c>
      <c r="R46" s="6">
        <v>12.07</v>
      </c>
      <c r="S46" s="3">
        <v>46006</v>
      </c>
    </row>
    <row r="47" hidden="1" ht="15.75" customHeight="1">
      <c r="A47" s="3">
        <v>46005</v>
      </c>
      <c r="B47" s="4" t="s">
        <v>39</v>
      </c>
      <c r="C47" s="4" t="s">
        <v>40</v>
      </c>
      <c r="D47" s="4" t="s">
        <v>17</v>
      </c>
      <c r="E47" s="5">
        <v>0.41458333333333336</v>
      </c>
      <c r="F47" s="6">
        <v>12.550000000000001</v>
      </c>
      <c r="G47" s="4" t="s">
        <v>18</v>
      </c>
      <c r="H47" s="4" t="s">
        <v>19</v>
      </c>
      <c r="I47" s="4" t="s">
        <v>20</v>
      </c>
      <c r="J47" s="4" t="s">
        <v>21</v>
      </c>
      <c r="N47" s="3">
        <v>46005</v>
      </c>
      <c r="O47" s="4" t="s">
        <v>39</v>
      </c>
      <c r="P47" s="5">
        <v>0.41458333333333336</v>
      </c>
      <c r="Q47" s="7">
        <f t="shared" si="3"/>
        <v>0.9375</v>
      </c>
      <c r="R47" s="6">
        <v>12.550000000000001</v>
      </c>
      <c r="S47" s="3">
        <v>46006</v>
      </c>
    </row>
    <row r="48" ht="15.75" customHeight="1">
      <c r="A48" s="3">
        <v>46005</v>
      </c>
      <c r="B48" s="4" t="s">
        <v>32</v>
      </c>
      <c r="C48" s="4" t="s">
        <v>33</v>
      </c>
      <c r="D48" s="4" t="s">
        <v>38</v>
      </c>
      <c r="E48" s="5">
        <v>0.79513888888888884</v>
      </c>
      <c r="F48" s="4"/>
      <c r="G48" s="4" t="s">
        <v>18</v>
      </c>
      <c r="H48" s="4" t="s">
        <v>19</v>
      </c>
      <c r="I48" s="4" t="s">
        <v>20</v>
      </c>
      <c r="J48" s="4" t="s">
        <v>21</v>
      </c>
    </row>
    <row r="49" ht="15.75" customHeight="1">
      <c r="A49" s="3">
        <v>46005</v>
      </c>
      <c r="B49" s="4" t="s">
        <v>15</v>
      </c>
      <c r="C49" s="4" t="s">
        <v>16</v>
      </c>
      <c r="D49" s="4" t="s">
        <v>38</v>
      </c>
      <c r="E49" s="5">
        <v>0.79583333333333328</v>
      </c>
      <c r="F49" s="4"/>
      <c r="G49" s="4" t="s">
        <v>18</v>
      </c>
      <c r="H49" s="4" t="s">
        <v>19</v>
      </c>
      <c r="I49" s="4" t="s">
        <v>20</v>
      </c>
      <c r="J49" s="4" t="s">
        <v>21</v>
      </c>
    </row>
    <row r="50" ht="15.75" customHeight="1">
      <c r="A50" s="3">
        <v>46005</v>
      </c>
      <c r="B50" s="4" t="s">
        <v>22</v>
      </c>
      <c r="C50" s="4" t="s">
        <v>23</v>
      </c>
      <c r="D50" s="4" t="s">
        <v>38</v>
      </c>
      <c r="E50" s="5">
        <v>0.80000000000000004</v>
      </c>
      <c r="F50" s="4"/>
      <c r="G50" s="4" t="s">
        <v>18</v>
      </c>
      <c r="H50" s="4" t="s">
        <v>19</v>
      </c>
      <c r="I50" s="4" t="s">
        <v>20</v>
      </c>
      <c r="J50" s="4" t="s">
        <v>21</v>
      </c>
    </row>
    <row r="51" ht="15.75" customHeight="1">
      <c r="A51" s="3">
        <v>46005</v>
      </c>
      <c r="B51" s="4" t="s">
        <v>24</v>
      </c>
      <c r="C51" s="4" t="s">
        <v>25</v>
      </c>
      <c r="D51" s="4" t="s">
        <v>38</v>
      </c>
      <c r="E51" s="5">
        <v>0.91666666666666663</v>
      </c>
      <c r="F51" s="4"/>
      <c r="G51" s="4" t="s">
        <v>26</v>
      </c>
      <c r="H51" s="4" t="s">
        <v>19</v>
      </c>
      <c r="I51" s="4" t="s">
        <v>20</v>
      </c>
      <c r="J51" s="4" t="s">
        <v>27</v>
      </c>
    </row>
    <row r="52" ht="15.75" customHeight="1">
      <c r="A52" s="3">
        <v>46005</v>
      </c>
      <c r="B52" s="4" t="s">
        <v>28</v>
      </c>
      <c r="C52" s="4" t="s">
        <v>29</v>
      </c>
      <c r="D52" s="4" t="s">
        <v>38</v>
      </c>
      <c r="E52" s="5">
        <v>0.91666666666666663</v>
      </c>
      <c r="F52" s="4"/>
      <c r="G52" s="4" t="s">
        <v>30</v>
      </c>
      <c r="H52" s="4" t="s">
        <v>19</v>
      </c>
      <c r="I52" s="4" t="s">
        <v>20</v>
      </c>
      <c r="J52" s="4" t="s">
        <v>31</v>
      </c>
    </row>
    <row r="53" ht="15.75" customHeight="1">
      <c r="A53" s="3">
        <v>46005</v>
      </c>
      <c r="B53" s="4" t="s">
        <v>39</v>
      </c>
      <c r="C53" s="4" t="s">
        <v>40</v>
      </c>
      <c r="D53" s="4" t="s">
        <v>38</v>
      </c>
      <c r="E53" s="5">
        <v>0.9375</v>
      </c>
      <c r="F53" s="4"/>
      <c r="G53" s="4"/>
      <c r="H53" s="4" t="s">
        <v>19</v>
      </c>
      <c r="I53" s="4"/>
      <c r="J53" s="4"/>
    </row>
    <row r="54" hidden="1" ht="15.75" customHeight="1">
      <c r="A54" s="3">
        <v>46006</v>
      </c>
      <c r="B54" s="4" t="s">
        <v>15</v>
      </c>
      <c r="C54" s="4" t="s">
        <v>16</v>
      </c>
      <c r="D54" s="4" t="s">
        <v>17</v>
      </c>
      <c r="E54" s="5">
        <v>0.375</v>
      </c>
      <c r="F54" s="6">
        <v>10.140000000000001</v>
      </c>
      <c r="G54" s="4" t="s">
        <v>18</v>
      </c>
      <c r="H54" s="4" t="s">
        <v>19</v>
      </c>
      <c r="I54" s="4" t="s">
        <v>20</v>
      </c>
      <c r="J54" s="4" t="s">
        <v>21</v>
      </c>
      <c r="N54" s="3">
        <v>46006</v>
      </c>
      <c r="O54" s="4" t="s">
        <v>15</v>
      </c>
      <c r="P54" s="5">
        <v>0.375</v>
      </c>
      <c r="Q54" s="7">
        <f t="shared" ref="Q54:Q61" si="4">P54 + (R54 / 24)</f>
        <v>0.7975000000000001</v>
      </c>
      <c r="R54" s="6">
        <v>10.140000000000001</v>
      </c>
      <c r="S54" s="3">
        <v>46006</v>
      </c>
    </row>
    <row r="55" hidden="1" ht="15.75" customHeight="1">
      <c r="A55" s="3">
        <v>46006</v>
      </c>
      <c r="B55" s="4" t="s">
        <v>22</v>
      </c>
      <c r="C55" s="4" t="s">
        <v>23</v>
      </c>
      <c r="D55" s="4" t="s">
        <v>17</v>
      </c>
      <c r="E55" s="5">
        <v>0.39652777777777776</v>
      </c>
      <c r="F55" s="6">
        <v>9.5399999999999991</v>
      </c>
      <c r="G55" s="4" t="s">
        <v>18</v>
      </c>
      <c r="H55" s="4" t="s">
        <v>19</v>
      </c>
      <c r="I55" s="4" t="s">
        <v>20</v>
      </c>
      <c r="J55" s="4" t="s">
        <v>21</v>
      </c>
      <c r="N55" s="3">
        <v>46006</v>
      </c>
      <c r="O55" s="4" t="s">
        <v>22</v>
      </c>
      <c r="P55" s="5">
        <v>0.39652777777777776</v>
      </c>
      <c r="Q55" s="7">
        <f t="shared" si="4"/>
        <v>0.79402777777777778</v>
      </c>
      <c r="R55" s="6">
        <v>9.5399999999999991</v>
      </c>
      <c r="S55" s="3">
        <v>46006</v>
      </c>
    </row>
    <row r="56" hidden="1" ht="15.75" customHeight="1">
      <c r="A56" s="3">
        <v>46006</v>
      </c>
      <c r="B56" s="4" t="s">
        <v>24</v>
      </c>
      <c r="C56" s="4" t="s">
        <v>25</v>
      </c>
      <c r="D56" s="4" t="s">
        <v>17</v>
      </c>
      <c r="E56" s="5">
        <v>0.41249999999999998</v>
      </c>
      <c r="F56" s="6">
        <v>12.109999999999999</v>
      </c>
      <c r="G56" s="4" t="s">
        <v>26</v>
      </c>
      <c r="H56" s="4" t="s">
        <v>19</v>
      </c>
      <c r="I56" s="4" t="s">
        <v>20</v>
      </c>
      <c r="J56" s="4" t="s">
        <v>27</v>
      </c>
      <c r="N56" s="3">
        <v>46006</v>
      </c>
      <c r="O56" s="4" t="s">
        <v>24</v>
      </c>
      <c r="P56" s="5">
        <v>0.41249999999999998</v>
      </c>
      <c r="Q56" s="7">
        <f t="shared" si="4"/>
        <v>0.91708333333333325</v>
      </c>
      <c r="R56" s="6">
        <v>12.109999999999999</v>
      </c>
      <c r="S56" s="3">
        <v>46007</v>
      </c>
    </row>
    <row r="57" hidden="1" ht="15.75" customHeight="1">
      <c r="A57" s="3">
        <v>46006</v>
      </c>
      <c r="B57" s="4" t="s">
        <v>28</v>
      </c>
      <c r="C57" s="4" t="s">
        <v>29</v>
      </c>
      <c r="D57" s="4" t="s">
        <v>17</v>
      </c>
      <c r="E57" s="5">
        <v>0.41388888888888886</v>
      </c>
      <c r="F57" s="6">
        <v>12.24</v>
      </c>
      <c r="G57" s="4" t="s">
        <v>30</v>
      </c>
      <c r="H57" s="4" t="s">
        <v>19</v>
      </c>
      <c r="I57" s="4" t="s">
        <v>20</v>
      </c>
      <c r="J57" s="4" t="s">
        <v>31</v>
      </c>
      <c r="N57" s="3">
        <v>46006</v>
      </c>
      <c r="O57" s="4" t="s">
        <v>28</v>
      </c>
      <c r="P57" s="5">
        <v>0.41388888888888886</v>
      </c>
      <c r="Q57" s="7">
        <f t="shared" si="4"/>
        <v>0.92388888888888887</v>
      </c>
      <c r="R57" s="6">
        <v>12.24</v>
      </c>
      <c r="S57" s="3">
        <v>46007</v>
      </c>
    </row>
    <row r="58" hidden="1" ht="15.75" customHeight="1">
      <c r="A58" s="3">
        <v>46006</v>
      </c>
      <c r="B58" s="4" t="s">
        <v>39</v>
      </c>
      <c r="C58" s="4" t="s">
        <v>40</v>
      </c>
      <c r="D58" s="4" t="s">
        <v>17</v>
      </c>
      <c r="E58" s="5">
        <v>0.41736111111111113</v>
      </c>
      <c r="F58" s="6">
        <v>9.0199999999999996</v>
      </c>
      <c r="G58" s="4" t="s">
        <v>18</v>
      </c>
      <c r="H58" s="4" t="s">
        <v>19</v>
      </c>
      <c r="I58" s="4" t="s">
        <v>20</v>
      </c>
      <c r="J58" s="4" t="s">
        <v>21</v>
      </c>
      <c r="N58" s="3">
        <v>46006</v>
      </c>
      <c r="O58" s="4" t="s">
        <v>39</v>
      </c>
      <c r="P58" s="5">
        <v>0.41736111111111113</v>
      </c>
      <c r="Q58" s="7">
        <f t="shared" si="4"/>
        <v>0.79319444444444442</v>
      </c>
      <c r="R58" s="6">
        <v>9.0199999999999996</v>
      </c>
      <c r="S58" s="3">
        <v>46007</v>
      </c>
    </row>
    <row r="59" hidden="1" ht="15.75" customHeight="1">
      <c r="A59" s="3">
        <v>46006</v>
      </c>
      <c r="B59" s="4" t="s">
        <v>36</v>
      </c>
      <c r="C59" s="4" t="s">
        <v>37</v>
      </c>
      <c r="D59" s="4" t="s">
        <v>17</v>
      </c>
      <c r="E59" s="5">
        <v>0.42708333333333331</v>
      </c>
      <c r="F59" s="6">
        <v>8.8200000000000003</v>
      </c>
      <c r="G59" s="4" t="s">
        <v>18</v>
      </c>
      <c r="H59" s="4" t="s">
        <v>19</v>
      </c>
      <c r="I59" s="4" t="s">
        <v>20</v>
      </c>
      <c r="J59" s="4" t="s">
        <v>21</v>
      </c>
      <c r="N59" s="3">
        <v>46006</v>
      </c>
      <c r="O59" s="4" t="s">
        <v>36</v>
      </c>
      <c r="P59" s="5">
        <v>0.42708333333333331</v>
      </c>
      <c r="Q59" s="7">
        <f t="shared" si="4"/>
        <v>0.79458333333333331</v>
      </c>
      <c r="R59" s="6">
        <v>8.8200000000000003</v>
      </c>
      <c r="S59" s="3">
        <v>46007</v>
      </c>
    </row>
    <row r="60" hidden="1" ht="15.75" customHeight="1">
      <c r="A60" s="3">
        <v>46006</v>
      </c>
      <c r="B60" s="4" t="s">
        <v>34</v>
      </c>
      <c r="C60" s="4" t="s">
        <v>35</v>
      </c>
      <c r="D60" s="4" t="s">
        <v>17</v>
      </c>
      <c r="E60" s="5">
        <v>0.43125000000000002</v>
      </c>
      <c r="F60" s="6">
        <v>8.8300000000000001</v>
      </c>
      <c r="G60" s="4" t="s">
        <v>18</v>
      </c>
      <c r="H60" s="4" t="s">
        <v>19</v>
      </c>
      <c r="I60" s="4" t="s">
        <v>20</v>
      </c>
      <c r="J60" s="4" t="s">
        <v>21</v>
      </c>
      <c r="N60" s="3">
        <v>46006</v>
      </c>
      <c r="O60" s="4" t="s">
        <v>34</v>
      </c>
      <c r="P60" s="5">
        <v>0.43125000000000002</v>
      </c>
      <c r="Q60" s="7">
        <f t="shared" si="4"/>
        <v>0.79916666666666669</v>
      </c>
      <c r="R60" s="6">
        <v>8.8300000000000001</v>
      </c>
      <c r="S60" s="3">
        <v>46007</v>
      </c>
    </row>
    <row r="61" hidden="1" ht="15.75" customHeight="1">
      <c r="A61" s="3">
        <v>46006</v>
      </c>
      <c r="B61" s="4" t="s">
        <v>32</v>
      </c>
      <c r="C61" s="4" t="s">
        <v>33</v>
      </c>
      <c r="D61" s="4" t="s">
        <v>17</v>
      </c>
      <c r="E61" s="5">
        <v>0.43819444444444444</v>
      </c>
      <c r="F61" s="6">
        <v>8.5399999999999991</v>
      </c>
      <c r="G61" s="4" t="s">
        <v>18</v>
      </c>
      <c r="H61" s="4" t="s">
        <v>19</v>
      </c>
      <c r="I61" s="4" t="s">
        <v>20</v>
      </c>
      <c r="J61" s="4" t="s">
        <v>21</v>
      </c>
      <c r="N61" s="3">
        <v>46006</v>
      </c>
      <c r="O61" s="4" t="s">
        <v>32</v>
      </c>
      <c r="P61" s="5">
        <v>0.43819444444444444</v>
      </c>
      <c r="Q61" s="7">
        <f t="shared" si="4"/>
        <v>0.79402777777777778</v>
      </c>
      <c r="R61" s="6">
        <v>8.5399999999999991</v>
      </c>
      <c r="S61" s="3">
        <v>46007</v>
      </c>
    </row>
    <row r="62" ht="15.75" customHeight="1">
      <c r="A62" s="3">
        <v>46006</v>
      </c>
      <c r="B62" s="4" t="s">
        <v>39</v>
      </c>
      <c r="C62" s="4" t="s">
        <v>40</v>
      </c>
      <c r="D62" s="4" t="s">
        <v>38</v>
      </c>
      <c r="E62" s="5">
        <v>0.79305555555555551</v>
      </c>
      <c r="F62" s="4"/>
      <c r="G62" s="4" t="s">
        <v>18</v>
      </c>
      <c r="H62" s="4" t="s">
        <v>19</v>
      </c>
      <c r="I62" s="4" t="s">
        <v>20</v>
      </c>
      <c r="J62" s="4" t="s">
        <v>21</v>
      </c>
    </row>
    <row r="63" ht="15.75" customHeight="1">
      <c r="A63" s="3">
        <v>46006</v>
      </c>
      <c r="B63" s="4" t="s">
        <v>22</v>
      </c>
      <c r="C63" s="4" t="s">
        <v>23</v>
      </c>
      <c r="D63" s="4" t="s">
        <v>38</v>
      </c>
      <c r="E63" s="5">
        <v>0.79374999999999996</v>
      </c>
      <c r="F63" s="4"/>
      <c r="G63" s="4" t="s">
        <v>18</v>
      </c>
      <c r="H63" s="4" t="s">
        <v>19</v>
      </c>
      <c r="I63" s="4" t="s">
        <v>20</v>
      </c>
      <c r="J63" s="4" t="s">
        <v>21</v>
      </c>
    </row>
    <row r="64" ht="15.75" customHeight="1">
      <c r="A64" s="3">
        <v>46006</v>
      </c>
      <c r="B64" s="4" t="s">
        <v>32</v>
      </c>
      <c r="C64" s="4" t="s">
        <v>33</v>
      </c>
      <c r="D64" s="4" t="s">
        <v>38</v>
      </c>
      <c r="E64" s="5">
        <v>0.7944444444444444</v>
      </c>
      <c r="F64" s="4"/>
      <c r="G64" s="4" t="s">
        <v>18</v>
      </c>
      <c r="H64" s="4" t="s">
        <v>19</v>
      </c>
      <c r="I64" s="4" t="s">
        <v>20</v>
      </c>
      <c r="J64" s="4" t="s">
        <v>21</v>
      </c>
    </row>
    <row r="65" ht="15.75" customHeight="1">
      <c r="A65" s="3">
        <v>46006</v>
      </c>
      <c r="B65" s="4" t="s">
        <v>36</v>
      </c>
      <c r="C65" s="4" t="s">
        <v>37</v>
      </c>
      <c r="D65" s="4" t="s">
        <v>38</v>
      </c>
      <c r="E65" s="5">
        <v>0.7944444444444444</v>
      </c>
      <c r="F65" s="4"/>
      <c r="G65" s="4" t="s">
        <v>18</v>
      </c>
      <c r="H65" s="4" t="s">
        <v>19</v>
      </c>
      <c r="I65" s="4" t="s">
        <v>20</v>
      </c>
      <c r="J65" s="4" t="s">
        <v>21</v>
      </c>
    </row>
    <row r="66" ht="15.75" customHeight="1">
      <c r="A66" s="3">
        <v>46006</v>
      </c>
      <c r="B66" s="4" t="s">
        <v>15</v>
      </c>
      <c r="C66" s="4" t="s">
        <v>16</v>
      </c>
      <c r="D66" s="4" t="s">
        <v>38</v>
      </c>
      <c r="E66" s="5">
        <v>0.79791666666666672</v>
      </c>
      <c r="F66" s="4"/>
      <c r="G66" s="4" t="s">
        <v>18</v>
      </c>
      <c r="H66" s="4" t="s">
        <v>19</v>
      </c>
      <c r="I66" s="4" t="s">
        <v>20</v>
      </c>
      <c r="J66" s="4" t="s">
        <v>21</v>
      </c>
    </row>
    <row r="67" ht="15.75" customHeight="1">
      <c r="A67" s="3">
        <v>46006</v>
      </c>
      <c r="B67" s="4" t="s">
        <v>34</v>
      </c>
      <c r="C67" s="4" t="s">
        <v>35</v>
      </c>
      <c r="D67" s="4" t="s">
        <v>38</v>
      </c>
      <c r="E67" s="5">
        <v>0.7993055555555556</v>
      </c>
      <c r="F67" s="4"/>
      <c r="G67" s="4" t="s">
        <v>18</v>
      </c>
      <c r="H67" s="4" t="s">
        <v>19</v>
      </c>
      <c r="I67" s="4" t="s">
        <v>20</v>
      </c>
      <c r="J67" s="4" t="s">
        <v>21</v>
      </c>
    </row>
    <row r="68" ht="15.75" customHeight="1">
      <c r="A68" s="3">
        <v>46006</v>
      </c>
      <c r="B68" s="4" t="s">
        <v>24</v>
      </c>
      <c r="C68" s="4" t="s">
        <v>25</v>
      </c>
      <c r="D68" s="4" t="s">
        <v>38</v>
      </c>
      <c r="E68" s="5">
        <v>0.91666666666666663</v>
      </c>
      <c r="F68" s="4"/>
      <c r="G68" s="4" t="s">
        <v>26</v>
      </c>
      <c r="H68" s="4" t="s">
        <v>19</v>
      </c>
      <c r="I68" s="4" t="s">
        <v>20</v>
      </c>
      <c r="J68" s="4" t="s">
        <v>27</v>
      </c>
    </row>
    <row r="69" ht="15.75" customHeight="1">
      <c r="A69" s="3">
        <v>46006</v>
      </c>
      <c r="B69" s="4" t="s">
        <v>24</v>
      </c>
      <c r="C69" s="4" t="s">
        <v>25</v>
      </c>
      <c r="D69" s="4" t="s">
        <v>38</v>
      </c>
      <c r="E69" s="5">
        <v>0.91666666666666663</v>
      </c>
      <c r="F69" s="4"/>
      <c r="G69" s="4" t="s">
        <v>26</v>
      </c>
      <c r="H69" s="4" t="s">
        <v>19</v>
      </c>
      <c r="I69" s="4" t="s">
        <v>20</v>
      </c>
      <c r="J69" s="4" t="s">
        <v>27</v>
      </c>
    </row>
    <row r="70" ht="15.75" customHeight="1">
      <c r="A70" s="3">
        <v>46006</v>
      </c>
      <c r="B70" s="4" t="s">
        <v>28</v>
      </c>
      <c r="C70" s="4" t="s">
        <v>29</v>
      </c>
      <c r="D70" s="4" t="s">
        <v>38</v>
      </c>
      <c r="E70" s="5">
        <v>0.9243055555555556</v>
      </c>
      <c r="F70" s="4"/>
      <c r="G70" s="4" t="s">
        <v>30</v>
      </c>
      <c r="H70" s="4" t="s">
        <v>19</v>
      </c>
      <c r="I70" s="4" t="s">
        <v>20</v>
      </c>
      <c r="J70" s="4" t="s">
        <v>31</v>
      </c>
    </row>
    <row r="71" hidden="1" ht="15.75" customHeight="1">
      <c r="A71" s="3">
        <v>46007</v>
      </c>
      <c r="B71" s="4" t="s">
        <v>15</v>
      </c>
      <c r="C71" s="4" t="s">
        <v>16</v>
      </c>
      <c r="D71" s="4" t="s">
        <v>17</v>
      </c>
      <c r="E71" s="5">
        <v>0.37361111111111112</v>
      </c>
      <c r="F71" s="6">
        <v>10.1</v>
      </c>
      <c r="G71" s="4" t="s">
        <v>18</v>
      </c>
      <c r="H71" s="4" t="s">
        <v>19</v>
      </c>
      <c r="I71" s="4" t="s">
        <v>20</v>
      </c>
      <c r="J71" s="4" t="s">
        <v>21</v>
      </c>
      <c r="N71" s="3">
        <v>46007</v>
      </c>
      <c r="O71" s="4" t="s">
        <v>15</v>
      </c>
      <c r="P71" s="5">
        <v>0.37361111111111112</v>
      </c>
      <c r="Q71" s="7">
        <f t="shared" ref="Q71:Q76" si="5">P71 + (R71 / 24)</f>
        <v>0.79444444444444451</v>
      </c>
      <c r="R71" s="6">
        <v>10.1</v>
      </c>
      <c r="S71" s="3">
        <v>46008</v>
      </c>
    </row>
    <row r="72" hidden="1" ht="15.75" customHeight="1">
      <c r="A72" s="3">
        <v>46007</v>
      </c>
      <c r="B72" s="4" t="s">
        <v>22</v>
      </c>
      <c r="C72" s="4" t="s">
        <v>23</v>
      </c>
      <c r="D72" s="4" t="s">
        <v>17</v>
      </c>
      <c r="E72" s="5">
        <v>0.38680555555555557</v>
      </c>
      <c r="F72" s="6">
        <v>13.199999999999999</v>
      </c>
      <c r="G72" s="4" t="s">
        <v>26</v>
      </c>
      <c r="H72" s="4" t="s">
        <v>19</v>
      </c>
      <c r="I72" s="4" t="s">
        <v>20</v>
      </c>
      <c r="J72" s="4" t="s">
        <v>27</v>
      </c>
      <c r="N72" s="3">
        <v>46007</v>
      </c>
      <c r="O72" s="4" t="s">
        <v>22</v>
      </c>
      <c r="P72" s="5">
        <v>0.38680555555555557</v>
      </c>
      <c r="Q72" s="7">
        <f t="shared" si="5"/>
        <v>0.93680555555555545</v>
      </c>
      <c r="R72" s="6">
        <v>13.199999999999999</v>
      </c>
      <c r="S72" s="3">
        <v>46008</v>
      </c>
    </row>
    <row r="73" hidden="1" ht="15.75" customHeight="1">
      <c r="A73" s="3">
        <v>46007</v>
      </c>
      <c r="B73" s="4" t="s">
        <v>24</v>
      </c>
      <c r="C73" s="4" t="s">
        <v>25</v>
      </c>
      <c r="D73" s="4" t="s">
        <v>17</v>
      </c>
      <c r="E73" s="5">
        <v>0.39930555555555558</v>
      </c>
      <c r="F73" s="6">
        <v>12.41</v>
      </c>
      <c r="G73" s="4" t="s">
        <v>30</v>
      </c>
      <c r="H73" s="4" t="s">
        <v>19</v>
      </c>
      <c r="I73" s="4" t="s">
        <v>20</v>
      </c>
      <c r="J73" s="4" t="s">
        <v>31</v>
      </c>
      <c r="N73" s="3">
        <v>46007</v>
      </c>
      <c r="O73" s="4" t="s">
        <v>24</v>
      </c>
      <c r="P73" s="5">
        <v>0.39930555555555558</v>
      </c>
      <c r="Q73" s="7">
        <f t="shared" si="5"/>
        <v>0.91638888888888892</v>
      </c>
      <c r="R73" s="6">
        <v>12.41</v>
      </c>
      <c r="S73" s="3">
        <v>46008</v>
      </c>
    </row>
    <row r="74" hidden="1" ht="15.75" customHeight="1">
      <c r="A74" s="3">
        <v>46007</v>
      </c>
      <c r="B74" s="4" t="s">
        <v>36</v>
      </c>
      <c r="C74" s="4" t="s">
        <v>37</v>
      </c>
      <c r="D74" s="4" t="s">
        <v>17</v>
      </c>
      <c r="E74" s="5">
        <v>0.41736111111111113</v>
      </c>
      <c r="F74" s="6">
        <v>9.0399999999999991</v>
      </c>
      <c r="G74" s="4" t="s">
        <v>18</v>
      </c>
      <c r="H74" s="4" t="s">
        <v>19</v>
      </c>
      <c r="I74" s="4" t="s">
        <v>20</v>
      </c>
      <c r="J74" s="4" t="s">
        <v>21</v>
      </c>
      <c r="N74" s="3">
        <v>46007</v>
      </c>
      <c r="O74" s="4" t="s">
        <v>36</v>
      </c>
      <c r="P74" s="5">
        <v>0.41736111111111113</v>
      </c>
      <c r="Q74" s="7">
        <f t="shared" si="5"/>
        <v>0.79402777777777778</v>
      </c>
      <c r="R74" s="6">
        <v>9.0399999999999991</v>
      </c>
      <c r="S74" s="3">
        <v>46008</v>
      </c>
    </row>
    <row r="75" hidden="1" ht="15.75" customHeight="1">
      <c r="A75" s="3">
        <v>46007</v>
      </c>
      <c r="B75" s="4" t="s">
        <v>34</v>
      </c>
      <c r="C75" s="4" t="s">
        <v>35</v>
      </c>
      <c r="D75" s="4" t="s">
        <v>17</v>
      </c>
      <c r="E75" s="5">
        <v>0.42291666666666666</v>
      </c>
      <c r="F75" s="6">
        <v>8.9100000000000001</v>
      </c>
      <c r="G75" s="4" t="s">
        <v>18</v>
      </c>
      <c r="H75" s="4" t="s">
        <v>19</v>
      </c>
      <c r="I75" s="4" t="s">
        <v>20</v>
      </c>
      <c r="J75" s="4" t="s">
        <v>21</v>
      </c>
      <c r="N75" s="3">
        <v>46007</v>
      </c>
      <c r="O75" s="4" t="s">
        <v>34</v>
      </c>
      <c r="P75" s="5">
        <v>0.42291666666666666</v>
      </c>
      <c r="Q75" s="7">
        <f t="shared" si="5"/>
        <v>0.79416666666666669</v>
      </c>
      <c r="R75" s="6">
        <v>8.9100000000000001</v>
      </c>
      <c r="S75" s="3">
        <v>46008</v>
      </c>
    </row>
    <row r="76" hidden="1" ht="15.75" customHeight="1">
      <c r="A76" s="3">
        <v>46007</v>
      </c>
      <c r="B76" s="4" t="s">
        <v>39</v>
      </c>
      <c r="C76" s="4" t="s">
        <v>40</v>
      </c>
      <c r="D76" s="4" t="s">
        <v>17</v>
      </c>
      <c r="E76" s="5">
        <v>0.4465277777777778</v>
      </c>
      <c r="F76" s="6">
        <v>8.3599999999999994</v>
      </c>
      <c r="G76" s="4" t="s">
        <v>18</v>
      </c>
      <c r="H76" s="4" t="s">
        <v>19</v>
      </c>
      <c r="I76" s="4" t="s">
        <v>20</v>
      </c>
      <c r="J76" s="4" t="s">
        <v>21</v>
      </c>
      <c r="N76" s="3">
        <v>46007</v>
      </c>
      <c r="O76" s="4" t="s">
        <v>39</v>
      </c>
      <c r="P76" s="5">
        <v>0.4465277777777778</v>
      </c>
      <c r="Q76" s="7">
        <f t="shared" si="5"/>
        <v>0.79486111111111113</v>
      </c>
      <c r="R76" s="6">
        <v>8.3599999999999994</v>
      </c>
      <c r="S76" s="3">
        <v>46008</v>
      </c>
    </row>
    <row r="77" ht="15.75" customHeight="1">
      <c r="A77" s="3">
        <v>46007</v>
      </c>
      <c r="B77" s="4" t="s">
        <v>34</v>
      </c>
      <c r="C77" s="4" t="s">
        <v>35</v>
      </c>
      <c r="D77" s="4" t="s">
        <v>38</v>
      </c>
      <c r="E77" s="5">
        <v>0.79374999999999996</v>
      </c>
      <c r="F77" s="4"/>
      <c r="G77" s="4" t="s">
        <v>18</v>
      </c>
      <c r="H77" s="4" t="s">
        <v>19</v>
      </c>
      <c r="I77" s="4" t="s">
        <v>20</v>
      </c>
      <c r="J77" s="4" t="s">
        <v>21</v>
      </c>
    </row>
    <row r="78" ht="15.75" customHeight="1">
      <c r="A78" s="3">
        <v>46007</v>
      </c>
      <c r="B78" s="4" t="s">
        <v>36</v>
      </c>
      <c r="C78" s="4" t="s">
        <v>37</v>
      </c>
      <c r="D78" s="4" t="s">
        <v>38</v>
      </c>
      <c r="E78" s="5">
        <v>0.7944444444444444</v>
      </c>
      <c r="F78" s="4"/>
      <c r="G78" s="4" t="s">
        <v>18</v>
      </c>
      <c r="H78" s="4" t="s">
        <v>19</v>
      </c>
      <c r="I78" s="4" t="s">
        <v>20</v>
      </c>
      <c r="J78" s="4" t="s">
        <v>21</v>
      </c>
    </row>
    <row r="79" ht="15.75" customHeight="1">
      <c r="A79" s="3">
        <v>46007</v>
      </c>
      <c r="B79" s="4" t="s">
        <v>15</v>
      </c>
      <c r="C79" s="4" t="s">
        <v>16</v>
      </c>
      <c r="D79" s="4" t="s">
        <v>38</v>
      </c>
      <c r="E79" s="5">
        <v>0.79513888888888884</v>
      </c>
      <c r="F79" s="4"/>
      <c r="G79" s="4" t="s">
        <v>18</v>
      </c>
      <c r="H79" s="4" t="s">
        <v>19</v>
      </c>
      <c r="I79" s="4" t="s">
        <v>20</v>
      </c>
      <c r="J79" s="4" t="s">
        <v>21</v>
      </c>
    </row>
    <row r="80" ht="15.75" customHeight="1">
      <c r="A80" s="3">
        <v>46007</v>
      </c>
      <c r="B80" s="4" t="s">
        <v>39</v>
      </c>
      <c r="C80" s="4" t="s">
        <v>40</v>
      </c>
      <c r="D80" s="4" t="s">
        <v>38</v>
      </c>
      <c r="E80" s="5">
        <v>0.79513888888888884</v>
      </c>
      <c r="F80" s="4"/>
      <c r="G80" s="4" t="s">
        <v>18</v>
      </c>
      <c r="H80" s="4" t="s">
        <v>19</v>
      </c>
      <c r="I80" s="4" t="s">
        <v>20</v>
      </c>
      <c r="J80" s="4" t="s">
        <v>21</v>
      </c>
    </row>
    <row r="81" ht="15.75" customHeight="1">
      <c r="A81" s="3">
        <v>46007</v>
      </c>
      <c r="B81" s="4" t="s">
        <v>24</v>
      </c>
      <c r="C81" s="4" t="s">
        <v>25</v>
      </c>
      <c r="D81" s="4" t="s">
        <v>38</v>
      </c>
      <c r="E81" s="5">
        <v>0.91666666666666663</v>
      </c>
      <c r="F81" s="4"/>
      <c r="G81" s="4" t="s">
        <v>30</v>
      </c>
      <c r="H81" s="4" t="s">
        <v>19</v>
      </c>
      <c r="I81" s="4" t="s">
        <v>20</v>
      </c>
      <c r="J81" s="4" t="s">
        <v>31</v>
      </c>
    </row>
    <row r="82" ht="15.75" customHeight="1">
      <c r="A82" s="3">
        <v>46007</v>
      </c>
      <c r="B82" s="4" t="s">
        <v>22</v>
      </c>
      <c r="C82" s="4" t="s">
        <v>23</v>
      </c>
      <c r="D82" s="4" t="s">
        <v>38</v>
      </c>
      <c r="E82" s="5">
        <v>0.9375</v>
      </c>
      <c r="F82" s="4"/>
      <c r="G82" s="4"/>
      <c r="H82" s="4" t="s">
        <v>19</v>
      </c>
      <c r="I82" s="4"/>
      <c r="J82" s="4"/>
    </row>
    <row r="83" hidden="1" ht="15.75" customHeight="1">
      <c r="A83" s="3">
        <v>46008</v>
      </c>
      <c r="B83" s="4" t="s">
        <v>22</v>
      </c>
      <c r="C83" s="4" t="s">
        <v>23</v>
      </c>
      <c r="D83" s="4" t="s">
        <v>17</v>
      </c>
      <c r="E83" s="5">
        <v>0.39444444444444443</v>
      </c>
      <c r="F83" s="6">
        <v>9.7300000000000004</v>
      </c>
      <c r="G83" s="4" t="s">
        <v>18</v>
      </c>
      <c r="H83" s="4" t="s">
        <v>19</v>
      </c>
      <c r="I83" s="4" t="s">
        <v>20</v>
      </c>
      <c r="J83" s="4" t="s">
        <v>21</v>
      </c>
      <c r="N83" s="3">
        <v>46008</v>
      </c>
      <c r="O83" s="4" t="s">
        <v>22</v>
      </c>
      <c r="P83" s="5">
        <v>0.39444444444444443</v>
      </c>
      <c r="Q83" s="7">
        <f t="shared" ref="Q83:Q88" si="6">P83 + (R83 / 24)</f>
        <v>0.79986111111111113</v>
      </c>
      <c r="R83" s="6">
        <v>9.7300000000000004</v>
      </c>
      <c r="S83" s="3">
        <v>46009</v>
      </c>
    </row>
    <row r="84" hidden="1" ht="15.75" customHeight="1">
      <c r="A84" s="3">
        <v>46008</v>
      </c>
      <c r="B84" s="4" t="s">
        <v>24</v>
      </c>
      <c r="C84" s="4" t="s">
        <v>25</v>
      </c>
      <c r="D84" s="4" t="s">
        <v>17</v>
      </c>
      <c r="E84" s="5">
        <v>0.41249999999999998</v>
      </c>
      <c r="F84" s="6">
        <v>12.449999999999999</v>
      </c>
      <c r="G84" s="4" t="s">
        <v>26</v>
      </c>
      <c r="H84" s="4" t="s">
        <v>19</v>
      </c>
      <c r="I84" s="4" t="s">
        <v>20</v>
      </c>
      <c r="J84" s="4" t="s">
        <v>27</v>
      </c>
      <c r="N84" s="3">
        <v>46008</v>
      </c>
      <c r="O84" s="4" t="s">
        <v>24</v>
      </c>
      <c r="P84" s="5">
        <v>0.41249999999999998</v>
      </c>
      <c r="Q84" s="7">
        <f t="shared" si="6"/>
        <v>0.93124999999999991</v>
      </c>
      <c r="R84" s="6">
        <v>12.449999999999999</v>
      </c>
      <c r="S84" s="3">
        <v>46009</v>
      </c>
    </row>
    <row r="85" hidden="1" ht="15.75" customHeight="1">
      <c r="A85" s="3">
        <v>46008</v>
      </c>
      <c r="B85" s="4" t="s">
        <v>36</v>
      </c>
      <c r="C85" s="4" t="s">
        <v>37</v>
      </c>
      <c r="D85" s="4" t="s">
        <v>17</v>
      </c>
      <c r="E85" s="5">
        <v>0.41319444444444442</v>
      </c>
      <c r="F85" s="6">
        <v>12.58</v>
      </c>
      <c r="G85" s="4" t="s">
        <v>18</v>
      </c>
      <c r="H85" s="4" t="s">
        <v>19</v>
      </c>
      <c r="I85" s="4" t="s">
        <v>20</v>
      </c>
      <c r="J85" s="4" t="s">
        <v>21</v>
      </c>
      <c r="N85" s="3">
        <v>46008</v>
      </c>
      <c r="O85" s="4" t="s">
        <v>36</v>
      </c>
      <c r="P85" s="5">
        <v>0.41319444444444442</v>
      </c>
      <c r="Q85" s="7">
        <f t="shared" si="6"/>
        <v>0.93736111111111109</v>
      </c>
      <c r="R85" s="6">
        <v>12.58</v>
      </c>
      <c r="S85" s="3">
        <v>46009</v>
      </c>
    </row>
    <row r="86" hidden="1" ht="15.75" customHeight="1">
      <c r="A86" s="3">
        <v>46008</v>
      </c>
      <c r="B86" s="4" t="s">
        <v>39</v>
      </c>
      <c r="C86" s="4" t="s">
        <v>40</v>
      </c>
      <c r="D86" s="4" t="s">
        <v>17</v>
      </c>
      <c r="E86" s="5">
        <v>0.42916666666666664</v>
      </c>
      <c r="F86" s="6">
        <v>8.8399999999999999</v>
      </c>
      <c r="G86" s="4" t="s">
        <v>18</v>
      </c>
      <c r="H86" s="4" t="s">
        <v>19</v>
      </c>
      <c r="I86" s="4" t="s">
        <v>20</v>
      </c>
      <c r="J86" s="4" t="s">
        <v>21</v>
      </c>
      <c r="N86" s="3">
        <v>46008</v>
      </c>
      <c r="O86" s="4" t="s">
        <v>39</v>
      </c>
      <c r="P86" s="5">
        <v>0.42916666666666664</v>
      </c>
      <c r="Q86" s="7">
        <f t="shared" si="6"/>
        <v>0.79749999999999999</v>
      </c>
      <c r="R86" s="6">
        <v>8.8399999999999999</v>
      </c>
      <c r="S86" s="3">
        <v>46009</v>
      </c>
    </row>
    <row r="87" hidden="1" ht="15.75" customHeight="1">
      <c r="A87" s="3">
        <v>46008</v>
      </c>
      <c r="B87" s="4" t="s">
        <v>34</v>
      </c>
      <c r="C87" s="4" t="s">
        <v>35</v>
      </c>
      <c r="D87" s="4" t="s">
        <v>17</v>
      </c>
      <c r="E87" s="5">
        <v>0.42986111111111114</v>
      </c>
      <c r="F87" s="6">
        <v>8.8499999999999996</v>
      </c>
      <c r="G87" s="4" t="s">
        <v>18</v>
      </c>
      <c r="H87" s="4" t="s">
        <v>19</v>
      </c>
      <c r="I87" s="4" t="s">
        <v>20</v>
      </c>
      <c r="J87" s="4" t="s">
        <v>21</v>
      </c>
      <c r="N87" s="3">
        <v>46008</v>
      </c>
      <c r="O87" s="4" t="s">
        <v>34</v>
      </c>
      <c r="P87" s="5">
        <v>0.42986111111111114</v>
      </c>
      <c r="Q87" s="7">
        <f t="shared" si="6"/>
        <v>0.79861111111111116</v>
      </c>
      <c r="R87" s="6">
        <v>8.8499999999999996</v>
      </c>
      <c r="S87" s="3">
        <v>46009</v>
      </c>
    </row>
    <row r="88" hidden="1" ht="15.75" customHeight="1">
      <c r="A88" s="3">
        <v>46008</v>
      </c>
      <c r="B88" s="4" t="s">
        <v>28</v>
      </c>
      <c r="C88" s="4" t="s">
        <v>29</v>
      </c>
      <c r="D88" s="4" t="s">
        <v>17</v>
      </c>
      <c r="E88" s="5">
        <v>0.4548611111111111</v>
      </c>
      <c r="F88" s="6">
        <v>11.07</v>
      </c>
      <c r="G88" s="4" t="s">
        <v>30</v>
      </c>
      <c r="H88" s="4" t="s">
        <v>19</v>
      </c>
      <c r="I88" s="4" t="s">
        <v>20</v>
      </c>
      <c r="J88" s="4" t="s">
        <v>31</v>
      </c>
      <c r="N88" s="3">
        <v>46008</v>
      </c>
      <c r="O88" s="4" t="s">
        <v>28</v>
      </c>
      <c r="P88" s="5">
        <v>0.4548611111111111</v>
      </c>
      <c r="Q88" s="7">
        <f t="shared" si="6"/>
        <v>0.9161111111111111</v>
      </c>
      <c r="R88" s="6">
        <v>11.07</v>
      </c>
      <c r="S88" s="3">
        <v>46009</v>
      </c>
    </row>
    <row r="89" ht="15.75" customHeight="1">
      <c r="A89" s="3">
        <v>46008</v>
      </c>
      <c r="B89" s="4" t="s">
        <v>39</v>
      </c>
      <c r="C89" s="4" t="s">
        <v>40</v>
      </c>
      <c r="D89" s="4" t="s">
        <v>38</v>
      </c>
      <c r="E89" s="5">
        <v>0.79791666666666672</v>
      </c>
      <c r="F89" s="4"/>
      <c r="G89" s="4" t="s">
        <v>18</v>
      </c>
      <c r="H89" s="4" t="s">
        <v>19</v>
      </c>
      <c r="I89" s="4" t="s">
        <v>20</v>
      </c>
      <c r="J89" s="4" t="s">
        <v>21</v>
      </c>
    </row>
    <row r="90" ht="15.75" customHeight="1">
      <c r="A90" s="3">
        <v>46008</v>
      </c>
      <c r="B90" s="4" t="s">
        <v>34</v>
      </c>
      <c r="C90" s="4" t="s">
        <v>35</v>
      </c>
      <c r="D90" s="4" t="s">
        <v>38</v>
      </c>
      <c r="E90" s="5">
        <v>0.79861111111111116</v>
      </c>
      <c r="F90" s="4"/>
      <c r="G90" s="4" t="s">
        <v>18</v>
      </c>
      <c r="H90" s="4" t="s">
        <v>19</v>
      </c>
      <c r="I90" s="4" t="s">
        <v>20</v>
      </c>
      <c r="J90" s="4" t="s">
        <v>21</v>
      </c>
    </row>
    <row r="91" ht="15.75" customHeight="1">
      <c r="A91" s="3">
        <v>46008</v>
      </c>
      <c r="B91" s="4" t="s">
        <v>22</v>
      </c>
      <c r="C91" s="4" t="s">
        <v>23</v>
      </c>
      <c r="D91" s="4" t="s">
        <v>38</v>
      </c>
      <c r="E91" s="5">
        <v>0.7993055555555556</v>
      </c>
      <c r="F91" s="4"/>
      <c r="G91" s="4" t="s">
        <v>18</v>
      </c>
      <c r="H91" s="4" t="s">
        <v>19</v>
      </c>
      <c r="I91" s="4" t="s">
        <v>20</v>
      </c>
      <c r="J91" s="4" t="s">
        <v>21</v>
      </c>
    </row>
    <row r="92" ht="15.75" customHeight="1">
      <c r="A92" s="3">
        <v>46008</v>
      </c>
      <c r="B92" s="4" t="s">
        <v>28</v>
      </c>
      <c r="C92" s="4" t="s">
        <v>29</v>
      </c>
      <c r="D92" s="4" t="s">
        <v>38</v>
      </c>
      <c r="E92" s="5">
        <v>0.91666666666666663</v>
      </c>
      <c r="F92" s="4"/>
      <c r="G92" s="4" t="s">
        <v>30</v>
      </c>
      <c r="H92" s="4" t="s">
        <v>19</v>
      </c>
      <c r="I92" s="4" t="s">
        <v>20</v>
      </c>
      <c r="J92" s="4" t="s">
        <v>31</v>
      </c>
    </row>
    <row r="93" ht="15.75" customHeight="1">
      <c r="A93" s="3">
        <v>46008</v>
      </c>
      <c r="B93" s="4" t="s">
        <v>24</v>
      </c>
      <c r="C93" s="4" t="s">
        <v>25</v>
      </c>
      <c r="D93" s="4" t="s">
        <v>38</v>
      </c>
      <c r="E93" s="5">
        <v>0.93125000000000002</v>
      </c>
      <c r="F93" s="4"/>
      <c r="G93" s="4" t="s">
        <v>26</v>
      </c>
      <c r="H93" s="4" t="s">
        <v>19</v>
      </c>
      <c r="I93" s="4" t="s">
        <v>20</v>
      </c>
      <c r="J93" s="4" t="s">
        <v>27</v>
      </c>
    </row>
    <row r="94" ht="15.75" customHeight="1">
      <c r="A94" s="3">
        <v>46008</v>
      </c>
      <c r="B94" s="4" t="s">
        <v>36</v>
      </c>
      <c r="C94" s="4" t="s">
        <v>37</v>
      </c>
      <c r="D94" s="4" t="s">
        <v>38</v>
      </c>
      <c r="E94" s="5">
        <v>0.9375</v>
      </c>
      <c r="F94" s="4"/>
      <c r="G94" s="4"/>
      <c r="H94" s="4" t="s">
        <v>19</v>
      </c>
      <c r="I94" s="4" t="s">
        <v>20</v>
      </c>
      <c r="J94" s="4" t="s">
        <v>21</v>
      </c>
    </row>
    <row r="95" hidden="1" ht="15.75" customHeight="1">
      <c r="A95" s="3">
        <v>46009</v>
      </c>
      <c r="B95" s="4" t="s">
        <v>15</v>
      </c>
      <c r="C95" s="4" t="s">
        <v>16</v>
      </c>
      <c r="D95" s="4" t="s">
        <v>17</v>
      </c>
      <c r="E95" s="5">
        <v>0.37013888888888891</v>
      </c>
      <c r="F95" s="6">
        <v>10.199999999999999</v>
      </c>
      <c r="G95" s="4" t="s">
        <v>18</v>
      </c>
      <c r="H95" s="4" t="s">
        <v>19</v>
      </c>
      <c r="I95" s="4" t="s">
        <v>20</v>
      </c>
      <c r="J95" s="4" t="s">
        <v>21</v>
      </c>
      <c r="N95" s="3">
        <v>46009</v>
      </c>
      <c r="O95" s="4" t="s">
        <v>15</v>
      </c>
      <c r="P95" s="5">
        <v>0.37013888888888891</v>
      </c>
      <c r="Q95" s="7">
        <f t="shared" ref="Q95:Q100" si="7">P95 + (R95 / 24)</f>
        <v>0.79513888888888884</v>
      </c>
      <c r="R95" s="6">
        <v>10.199999999999999</v>
      </c>
      <c r="S95" s="3">
        <v>46010</v>
      </c>
    </row>
    <row r="96" hidden="1" ht="15.75" customHeight="1">
      <c r="A96" s="3">
        <v>46009</v>
      </c>
      <c r="B96" s="4" t="s">
        <v>24</v>
      </c>
      <c r="C96" s="4" t="s">
        <v>25</v>
      </c>
      <c r="D96" s="4" t="s">
        <v>17</v>
      </c>
      <c r="E96" s="5">
        <v>0.41249999999999998</v>
      </c>
      <c r="F96" s="6">
        <v>12.109999999999999</v>
      </c>
      <c r="G96" s="4" t="s">
        <v>26</v>
      </c>
      <c r="H96" s="4" t="s">
        <v>19</v>
      </c>
      <c r="I96" s="4" t="s">
        <v>20</v>
      </c>
      <c r="J96" s="4" t="s">
        <v>27</v>
      </c>
      <c r="N96" s="3">
        <v>46009</v>
      </c>
      <c r="O96" s="4" t="s">
        <v>24</v>
      </c>
      <c r="P96" s="5">
        <v>0.41249999999999998</v>
      </c>
      <c r="Q96" s="7">
        <f t="shared" si="7"/>
        <v>0.91708333333333325</v>
      </c>
      <c r="R96" s="6">
        <v>12.109999999999999</v>
      </c>
      <c r="S96" s="3">
        <v>46010</v>
      </c>
    </row>
    <row r="97" hidden="1" ht="15.75" customHeight="1">
      <c r="A97" s="3">
        <v>46009</v>
      </c>
      <c r="B97" s="4" t="s">
        <v>28</v>
      </c>
      <c r="C97" s="4" t="s">
        <v>29</v>
      </c>
      <c r="D97" s="4" t="s">
        <v>17</v>
      </c>
      <c r="E97" s="5">
        <v>0.41388888888888886</v>
      </c>
      <c r="F97" s="6">
        <v>12.039999999999999</v>
      </c>
      <c r="G97" s="4" t="s">
        <v>30</v>
      </c>
      <c r="H97" s="4" t="s">
        <v>19</v>
      </c>
      <c r="I97" s="4" t="s">
        <v>20</v>
      </c>
      <c r="J97" s="4" t="s">
        <v>31</v>
      </c>
      <c r="N97" s="3">
        <v>46009</v>
      </c>
      <c r="O97" s="4" t="s">
        <v>28</v>
      </c>
      <c r="P97" s="5">
        <v>0.41388888888888886</v>
      </c>
      <c r="Q97" s="7">
        <f t="shared" si="7"/>
        <v>0.91555555555555546</v>
      </c>
      <c r="R97" s="6">
        <v>12.039999999999999</v>
      </c>
      <c r="S97" s="3">
        <v>46010</v>
      </c>
    </row>
    <row r="98" hidden="1" ht="15.75" customHeight="1">
      <c r="A98" s="3">
        <v>46009</v>
      </c>
      <c r="B98" s="4" t="s">
        <v>32</v>
      </c>
      <c r="C98" s="4" t="s">
        <v>33</v>
      </c>
      <c r="D98" s="4" t="s">
        <v>17</v>
      </c>
      <c r="E98" s="5">
        <v>0.4201388888888889</v>
      </c>
      <c r="F98" s="6">
        <v>8.9700000000000006</v>
      </c>
      <c r="G98" s="4" t="s">
        <v>18</v>
      </c>
      <c r="H98" s="4" t="s">
        <v>19</v>
      </c>
      <c r="I98" s="4" t="s">
        <v>20</v>
      </c>
      <c r="J98" s="4" t="s">
        <v>21</v>
      </c>
      <c r="N98" s="3">
        <v>46009</v>
      </c>
      <c r="O98" s="4" t="s">
        <v>32</v>
      </c>
      <c r="P98" s="5">
        <v>0.4201388888888889</v>
      </c>
      <c r="Q98" s="7">
        <f t="shared" si="7"/>
        <v>0.79388888888888887</v>
      </c>
      <c r="R98" s="6">
        <v>8.9700000000000006</v>
      </c>
      <c r="S98" s="3">
        <v>46010</v>
      </c>
    </row>
    <row r="99" hidden="1" ht="15.75" customHeight="1">
      <c r="A99" s="3">
        <v>46009</v>
      </c>
      <c r="B99" s="4" t="s">
        <v>34</v>
      </c>
      <c r="C99" s="4" t="s">
        <v>35</v>
      </c>
      <c r="D99" s="4" t="s">
        <v>17</v>
      </c>
      <c r="E99" s="5">
        <v>0.4284722222222222</v>
      </c>
      <c r="F99" s="6">
        <v>8.75</v>
      </c>
      <c r="G99" s="4" t="s">
        <v>18</v>
      </c>
      <c r="H99" s="4" t="s">
        <v>19</v>
      </c>
      <c r="I99" s="4" t="s">
        <v>20</v>
      </c>
      <c r="J99" s="4" t="s">
        <v>21</v>
      </c>
      <c r="N99" s="3">
        <v>46009</v>
      </c>
      <c r="O99" s="4" t="s">
        <v>34</v>
      </c>
      <c r="P99" s="5">
        <v>0.4284722222222222</v>
      </c>
      <c r="Q99" s="7">
        <f t="shared" si="7"/>
        <v>0.79305555555555551</v>
      </c>
      <c r="R99" s="6">
        <v>8.75</v>
      </c>
      <c r="S99" s="3">
        <v>46010</v>
      </c>
    </row>
    <row r="100" hidden="1" ht="15.75" customHeight="1">
      <c r="A100" s="3">
        <v>46009</v>
      </c>
      <c r="B100" s="4" t="s">
        <v>36</v>
      </c>
      <c r="C100" s="4" t="s">
        <v>37</v>
      </c>
      <c r="D100" s="4" t="s">
        <v>17</v>
      </c>
      <c r="E100" s="5">
        <v>0.48680555555555555</v>
      </c>
      <c r="F100" s="6">
        <v>7.4400000000000004</v>
      </c>
      <c r="G100" s="4" t="s">
        <v>18</v>
      </c>
      <c r="H100" s="4" t="s">
        <v>19</v>
      </c>
      <c r="I100" s="4" t="s">
        <v>20</v>
      </c>
      <c r="J100" s="4" t="s">
        <v>21</v>
      </c>
      <c r="N100" s="3">
        <v>46009</v>
      </c>
      <c r="O100" s="4" t="s">
        <v>36</v>
      </c>
      <c r="P100" s="5">
        <v>0.48680555555555555</v>
      </c>
      <c r="Q100" s="7">
        <f t="shared" si="7"/>
        <v>0.79680555555555554</v>
      </c>
      <c r="R100" s="6">
        <v>7.4400000000000004</v>
      </c>
      <c r="S100" s="3">
        <v>46010</v>
      </c>
    </row>
    <row r="101" ht="15.75" customHeight="1">
      <c r="A101" s="3">
        <v>46009</v>
      </c>
      <c r="B101" s="4" t="s">
        <v>34</v>
      </c>
      <c r="C101" s="4" t="s">
        <v>35</v>
      </c>
      <c r="D101" s="4" t="s">
        <v>38</v>
      </c>
      <c r="E101" s="5">
        <v>0.79305555555555551</v>
      </c>
      <c r="F101" s="4"/>
      <c r="G101" s="4" t="s">
        <v>18</v>
      </c>
      <c r="H101" s="4" t="s">
        <v>19</v>
      </c>
      <c r="I101" s="4" t="s">
        <v>20</v>
      </c>
      <c r="J101" s="4" t="s">
        <v>21</v>
      </c>
    </row>
    <row r="102" ht="15.75" customHeight="1">
      <c r="A102" s="3">
        <v>46009</v>
      </c>
      <c r="B102" s="4" t="s">
        <v>32</v>
      </c>
      <c r="C102" s="4" t="s">
        <v>33</v>
      </c>
      <c r="D102" s="4" t="s">
        <v>38</v>
      </c>
      <c r="E102" s="5">
        <v>0.79374999999999996</v>
      </c>
      <c r="F102" s="4"/>
      <c r="G102" s="4" t="s">
        <v>18</v>
      </c>
      <c r="H102" s="4" t="s">
        <v>19</v>
      </c>
      <c r="I102" s="4" t="s">
        <v>20</v>
      </c>
      <c r="J102" s="4" t="s">
        <v>21</v>
      </c>
    </row>
    <row r="103" ht="15.75" customHeight="1">
      <c r="A103" s="3">
        <v>46009</v>
      </c>
      <c r="B103" s="4" t="s">
        <v>15</v>
      </c>
      <c r="C103" s="4" t="s">
        <v>16</v>
      </c>
      <c r="D103" s="4" t="s">
        <v>38</v>
      </c>
      <c r="E103" s="5">
        <v>0.79513888888888884</v>
      </c>
      <c r="F103" s="4"/>
      <c r="G103" s="4" t="s">
        <v>18</v>
      </c>
      <c r="H103" s="4" t="s">
        <v>19</v>
      </c>
      <c r="I103" s="4" t="s">
        <v>20</v>
      </c>
      <c r="J103" s="4" t="s">
        <v>21</v>
      </c>
    </row>
    <row r="104" ht="15.75" customHeight="1">
      <c r="A104" s="3">
        <v>46009</v>
      </c>
      <c r="B104" s="4" t="s">
        <v>36</v>
      </c>
      <c r="C104" s="4" t="s">
        <v>37</v>
      </c>
      <c r="D104" s="4" t="s">
        <v>38</v>
      </c>
      <c r="E104" s="5">
        <v>0.79652777777777772</v>
      </c>
      <c r="F104" s="4"/>
      <c r="G104" s="4" t="s">
        <v>18</v>
      </c>
      <c r="H104" s="4" t="s">
        <v>19</v>
      </c>
      <c r="I104" s="4" t="s">
        <v>20</v>
      </c>
      <c r="J104" s="4" t="s">
        <v>21</v>
      </c>
    </row>
    <row r="105" ht="15.75" customHeight="1">
      <c r="A105" s="3">
        <v>46009</v>
      </c>
      <c r="B105" s="4" t="s">
        <v>28</v>
      </c>
      <c r="C105" s="4" t="s">
        <v>29</v>
      </c>
      <c r="D105" s="4" t="s">
        <v>38</v>
      </c>
      <c r="E105" s="5">
        <v>0.91597222222222219</v>
      </c>
      <c r="F105" s="4"/>
      <c r="G105" s="4" t="s">
        <v>30</v>
      </c>
      <c r="H105" s="4" t="s">
        <v>19</v>
      </c>
      <c r="I105" s="4" t="s">
        <v>20</v>
      </c>
      <c r="J105" s="4" t="s">
        <v>31</v>
      </c>
    </row>
    <row r="106" ht="15.75" customHeight="1">
      <c r="A106" s="3">
        <v>46009</v>
      </c>
      <c r="B106" s="4" t="s">
        <v>24</v>
      </c>
      <c r="C106" s="4" t="s">
        <v>25</v>
      </c>
      <c r="D106" s="4" t="s">
        <v>38</v>
      </c>
      <c r="E106" s="5">
        <v>0.91736111111111107</v>
      </c>
      <c r="F106" s="4"/>
      <c r="G106" s="4" t="s">
        <v>26</v>
      </c>
      <c r="H106" s="4" t="s">
        <v>19</v>
      </c>
      <c r="I106" s="4" t="s">
        <v>20</v>
      </c>
      <c r="J106" s="4" t="s">
        <v>27</v>
      </c>
    </row>
    <row r="107" hidden="1" ht="15.75" customHeight="1">
      <c r="A107" s="3">
        <v>46010</v>
      </c>
      <c r="B107" s="4" t="s">
        <v>15</v>
      </c>
      <c r="C107" s="4" t="s">
        <v>16</v>
      </c>
      <c r="D107" s="4" t="s">
        <v>17</v>
      </c>
      <c r="E107" s="5">
        <v>0.37430555555555556</v>
      </c>
      <c r="F107" s="6">
        <v>10.1</v>
      </c>
      <c r="G107" s="4" t="s">
        <v>18</v>
      </c>
      <c r="H107" s="4" t="s">
        <v>19</v>
      </c>
      <c r="I107" s="4" t="s">
        <v>20</v>
      </c>
      <c r="J107" s="4" t="s">
        <v>21</v>
      </c>
      <c r="N107" s="3">
        <v>46010</v>
      </c>
      <c r="O107" s="4" t="s">
        <v>15</v>
      </c>
      <c r="P107" s="5">
        <v>0.37430555555555556</v>
      </c>
      <c r="Q107" s="7">
        <f t="shared" ref="Q107:Q113" si="8">P107 + (R107 / 24)</f>
        <v>0.79513888888888884</v>
      </c>
      <c r="R107" s="6">
        <v>10.1</v>
      </c>
      <c r="S107" s="3">
        <v>46010</v>
      </c>
    </row>
    <row r="108" hidden="1" ht="15.75" customHeight="1">
      <c r="A108" s="3">
        <v>46010</v>
      </c>
      <c r="B108" s="4" t="s">
        <v>22</v>
      </c>
      <c r="C108" s="4" t="s">
        <v>23</v>
      </c>
      <c r="D108" s="4" t="s">
        <v>17</v>
      </c>
      <c r="E108" s="5">
        <v>0.37777777777777777</v>
      </c>
      <c r="F108" s="6">
        <v>12.960000000000001</v>
      </c>
      <c r="G108" s="4" t="s">
        <v>26</v>
      </c>
      <c r="H108" s="4" t="s">
        <v>19</v>
      </c>
      <c r="I108" s="4" t="s">
        <v>20</v>
      </c>
      <c r="J108" s="4" t="s">
        <v>27</v>
      </c>
      <c r="N108" s="3">
        <v>46010</v>
      </c>
      <c r="O108" s="4" t="s">
        <v>22</v>
      </c>
      <c r="P108" s="5">
        <v>0.37777777777777777</v>
      </c>
      <c r="Q108" s="7">
        <f t="shared" si="8"/>
        <v>0.9177777777777778</v>
      </c>
      <c r="R108" s="6">
        <v>12.960000000000001</v>
      </c>
      <c r="S108" s="3">
        <v>46011</v>
      </c>
    </row>
    <row r="109" hidden="1" ht="15.75" customHeight="1">
      <c r="A109" s="3">
        <v>46010</v>
      </c>
      <c r="B109" s="4" t="s">
        <v>32</v>
      </c>
      <c r="C109" s="4" t="s">
        <v>33</v>
      </c>
      <c r="D109" s="4" t="s">
        <v>17</v>
      </c>
      <c r="E109" s="5">
        <v>0.39444444444444443</v>
      </c>
      <c r="F109" s="6">
        <v>9.5999999999999996</v>
      </c>
      <c r="G109" s="4" t="s">
        <v>18</v>
      </c>
      <c r="H109" s="4" t="s">
        <v>19</v>
      </c>
      <c r="I109" s="4" t="s">
        <v>20</v>
      </c>
      <c r="J109" s="4" t="s">
        <v>21</v>
      </c>
      <c r="N109" s="3">
        <v>46010</v>
      </c>
      <c r="O109" s="4" t="s">
        <v>32</v>
      </c>
      <c r="P109" s="5">
        <v>0.39444444444444443</v>
      </c>
      <c r="Q109" s="7">
        <f t="shared" si="8"/>
        <v>0.7944444444444444</v>
      </c>
      <c r="R109" s="6">
        <v>9.5999999999999996</v>
      </c>
      <c r="S109" s="3">
        <v>46011</v>
      </c>
    </row>
    <row r="110" hidden="1" ht="15.75" customHeight="1">
      <c r="A110" s="3">
        <v>46010</v>
      </c>
      <c r="B110" s="4" t="s">
        <v>28</v>
      </c>
      <c r="C110" s="4" t="s">
        <v>29</v>
      </c>
      <c r="D110" s="4" t="s">
        <v>17</v>
      </c>
      <c r="E110" s="5">
        <v>0.41249999999999998</v>
      </c>
      <c r="F110" s="6">
        <v>12.050000000000001</v>
      </c>
      <c r="G110" s="4" t="s">
        <v>30</v>
      </c>
      <c r="H110" s="4" t="s">
        <v>19</v>
      </c>
      <c r="I110" s="4" t="s">
        <v>20</v>
      </c>
      <c r="J110" s="4" t="s">
        <v>31</v>
      </c>
      <c r="N110" s="3">
        <v>46010</v>
      </c>
      <c r="O110" s="4" t="s">
        <v>28</v>
      </c>
      <c r="P110" s="5">
        <v>0.41249999999999998</v>
      </c>
      <c r="Q110" s="7">
        <f t="shared" si="8"/>
        <v>0.9145833333333333</v>
      </c>
      <c r="R110" s="6">
        <v>12.050000000000001</v>
      </c>
      <c r="S110" s="3">
        <v>46011</v>
      </c>
    </row>
    <row r="111" hidden="1" ht="15.75" customHeight="1">
      <c r="A111" s="3">
        <v>46010</v>
      </c>
      <c r="B111" s="4" t="s">
        <v>34</v>
      </c>
      <c r="C111" s="4" t="s">
        <v>35</v>
      </c>
      <c r="D111" s="4" t="s">
        <v>17</v>
      </c>
      <c r="E111" s="5">
        <v>0.42777777777777776</v>
      </c>
      <c r="F111" s="6">
        <v>8.75</v>
      </c>
      <c r="G111" s="4" t="s">
        <v>18</v>
      </c>
      <c r="H111" s="4" t="s">
        <v>19</v>
      </c>
      <c r="I111" s="4" t="s">
        <v>20</v>
      </c>
      <c r="J111" s="4" t="s">
        <v>21</v>
      </c>
      <c r="N111" s="3">
        <v>46010</v>
      </c>
      <c r="O111" s="4" t="s">
        <v>34</v>
      </c>
      <c r="P111" s="5">
        <v>0.42777777777777776</v>
      </c>
      <c r="Q111" s="7">
        <f t="shared" si="8"/>
        <v>0.79236111111111107</v>
      </c>
      <c r="R111" s="6">
        <v>8.75</v>
      </c>
      <c r="S111" s="3">
        <v>46011</v>
      </c>
    </row>
    <row r="112" hidden="1" ht="15.75" customHeight="1">
      <c r="A112" s="3">
        <v>46010</v>
      </c>
      <c r="B112" s="4" t="s">
        <v>36</v>
      </c>
      <c r="C112" s="4" t="s">
        <v>37</v>
      </c>
      <c r="D112" s="4" t="s">
        <v>17</v>
      </c>
      <c r="E112" s="5">
        <v>0.4375</v>
      </c>
      <c r="F112" s="6">
        <v>8.5700000000000003</v>
      </c>
      <c r="G112" s="4" t="s">
        <v>18</v>
      </c>
      <c r="H112" s="4" t="s">
        <v>19</v>
      </c>
      <c r="I112" s="4" t="s">
        <v>20</v>
      </c>
      <c r="J112" s="4" t="s">
        <v>21</v>
      </c>
      <c r="N112" s="3">
        <v>46010</v>
      </c>
      <c r="O112" s="4" t="s">
        <v>36</v>
      </c>
      <c r="P112" s="5">
        <v>0.4375</v>
      </c>
      <c r="Q112" s="7">
        <f t="shared" si="8"/>
        <v>0.79458333333333342</v>
      </c>
      <c r="R112" s="6">
        <v>8.5700000000000003</v>
      </c>
      <c r="S112" s="3">
        <v>46011</v>
      </c>
    </row>
    <row r="113" hidden="1" ht="15.75" customHeight="1">
      <c r="A113" s="3">
        <v>46010</v>
      </c>
      <c r="B113" s="4" t="s">
        <v>39</v>
      </c>
      <c r="C113" s="4" t="s">
        <v>40</v>
      </c>
      <c r="D113" s="4" t="s">
        <v>17</v>
      </c>
      <c r="E113" s="5">
        <v>0.45416666666666666</v>
      </c>
      <c r="F113" s="6">
        <v>8.1300000000000008</v>
      </c>
      <c r="G113" s="4" t="s">
        <v>18</v>
      </c>
      <c r="H113" s="4" t="s">
        <v>19</v>
      </c>
      <c r="I113" s="4" t="s">
        <v>20</v>
      </c>
      <c r="J113" s="4" t="s">
        <v>21</v>
      </c>
      <c r="N113" s="3">
        <v>46010</v>
      </c>
      <c r="O113" s="4" t="s">
        <v>39</v>
      </c>
      <c r="P113" s="5">
        <v>0.45416666666666666</v>
      </c>
      <c r="Q113" s="7">
        <f t="shared" si="8"/>
        <v>0.79291666666666671</v>
      </c>
      <c r="R113" s="6">
        <v>8.1300000000000008</v>
      </c>
      <c r="S113" s="3">
        <v>46012</v>
      </c>
    </row>
    <row r="114" ht="15.75" customHeight="1">
      <c r="A114" s="3">
        <v>46010</v>
      </c>
      <c r="B114" s="4" t="s">
        <v>34</v>
      </c>
      <c r="C114" s="4" t="s">
        <v>35</v>
      </c>
      <c r="D114" s="4" t="s">
        <v>38</v>
      </c>
      <c r="E114" s="5">
        <v>0.79236111111111107</v>
      </c>
      <c r="F114" s="4"/>
      <c r="G114" s="4" t="s">
        <v>18</v>
      </c>
      <c r="H114" s="4" t="s">
        <v>19</v>
      </c>
      <c r="I114" s="4" t="s">
        <v>20</v>
      </c>
      <c r="J114" s="4" t="s">
        <v>21</v>
      </c>
    </row>
    <row r="115" ht="15.75" customHeight="1">
      <c r="A115" s="3">
        <v>46010</v>
      </c>
      <c r="B115" s="4" t="s">
        <v>39</v>
      </c>
      <c r="C115" s="4" t="s">
        <v>40</v>
      </c>
      <c r="D115" s="4" t="s">
        <v>38</v>
      </c>
      <c r="E115" s="5">
        <v>0.79305555555555551</v>
      </c>
      <c r="F115" s="4"/>
      <c r="G115" s="4" t="s">
        <v>18</v>
      </c>
      <c r="H115" s="4" t="s">
        <v>19</v>
      </c>
      <c r="I115" s="4" t="s">
        <v>20</v>
      </c>
      <c r="J115" s="4" t="s">
        <v>21</v>
      </c>
    </row>
    <row r="116" ht="15.75" customHeight="1">
      <c r="A116" s="3">
        <v>46010</v>
      </c>
      <c r="B116" s="4" t="s">
        <v>36</v>
      </c>
      <c r="C116" s="4" t="s">
        <v>37</v>
      </c>
      <c r="D116" s="4" t="s">
        <v>38</v>
      </c>
      <c r="E116" s="5">
        <v>0.7944444444444444</v>
      </c>
      <c r="F116" s="4"/>
      <c r="G116" s="4" t="s">
        <v>18</v>
      </c>
      <c r="H116" s="4" t="s">
        <v>19</v>
      </c>
      <c r="I116" s="4" t="s">
        <v>20</v>
      </c>
      <c r="J116" s="4" t="s">
        <v>21</v>
      </c>
    </row>
    <row r="117" ht="15.75" customHeight="1">
      <c r="A117" s="3">
        <v>46010</v>
      </c>
      <c r="B117" s="4" t="s">
        <v>32</v>
      </c>
      <c r="C117" s="4" t="s">
        <v>33</v>
      </c>
      <c r="D117" s="4" t="s">
        <v>38</v>
      </c>
      <c r="E117" s="5">
        <v>0.79513888888888884</v>
      </c>
      <c r="F117" s="4"/>
      <c r="G117" s="4" t="s">
        <v>18</v>
      </c>
      <c r="H117" s="4" t="s">
        <v>19</v>
      </c>
      <c r="I117" s="4" t="s">
        <v>20</v>
      </c>
      <c r="J117" s="4" t="s">
        <v>21</v>
      </c>
    </row>
    <row r="118" ht="15.75" customHeight="1">
      <c r="A118" s="3">
        <v>46010</v>
      </c>
      <c r="B118" s="4" t="s">
        <v>15</v>
      </c>
      <c r="C118" s="4" t="s">
        <v>16</v>
      </c>
      <c r="D118" s="4" t="s">
        <v>38</v>
      </c>
      <c r="E118" s="5">
        <v>0.79513888888888884</v>
      </c>
      <c r="F118" s="4"/>
      <c r="G118" s="4" t="s">
        <v>18</v>
      </c>
      <c r="H118" s="4" t="s">
        <v>19</v>
      </c>
      <c r="I118" s="4" t="s">
        <v>20</v>
      </c>
      <c r="J118" s="4" t="s">
        <v>21</v>
      </c>
    </row>
    <row r="119" ht="15.75" customHeight="1">
      <c r="A119" s="3">
        <v>46010</v>
      </c>
      <c r="B119" s="4" t="s">
        <v>28</v>
      </c>
      <c r="C119" s="4" t="s">
        <v>29</v>
      </c>
      <c r="D119" s="4" t="s">
        <v>38</v>
      </c>
      <c r="E119" s="5">
        <v>0.91388888888888886</v>
      </c>
      <c r="F119" s="4"/>
      <c r="G119" s="4" t="s">
        <v>30</v>
      </c>
      <c r="H119" s="4" t="s">
        <v>19</v>
      </c>
      <c r="I119" s="4" t="s">
        <v>20</v>
      </c>
      <c r="J119" s="4" t="s">
        <v>31</v>
      </c>
    </row>
    <row r="120" ht="15.75" customHeight="1">
      <c r="A120" s="3">
        <v>46010</v>
      </c>
      <c r="B120" s="4" t="s">
        <v>22</v>
      </c>
      <c r="C120" s="4" t="s">
        <v>23</v>
      </c>
      <c r="D120" s="4" t="s">
        <v>38</v>
      </c>
      <c r="E120" s="5">
        <v>0.91805555555555551</v>
      </c>
      <c r="F120" s="4"/>
      <c r="G120" s="4" t="s">
        <v>26</v>
      </c>
      <c r="H120" s="4" t="s">
        <v>19</v>
      </c>
      <c r="I120" s="4" t="s">
        <v>20</v>
      </c>
      <c r="J120" s="4" t="s">
        <v>27</v>
      </c>
    </row>
    <row r="121" hidden="1" ht="15.75" customHeight="1">
      <c r="A121" s="3">
        <v>46011</v>
      </c>
      <c r="B121" s="4" t="s">
        <v>22</v>
      </c>
      <c r="C121" s="4" t="s">
        <v>23</v>
      </c>
      <c r="D121" s="4" t="s">
        <v>17</v>
      </c>
      <c r="E121" s="5">
        <v>0.37847222222222221</v>
      </c>
      <c r="F121" s="6">
        <v>10.25</v>
      </c>
      <c r="G121" s="4" t="s">
        <v>18</v>
      </c>
      <c r="H121" s="4" t="s">
        <v>19</v>
      </c>
      <c r="I121" s="4" t="s">
        <v>20</v>
      </c>
      <c r="J121" s="4" t="s">
        <v>21</v>
      </c>
      <c r="N121" s="3">
        <v>46011</v>
      </c>
      <c r="O121" s="4" t="s">
        <v>22</v>
      </c>
      <c r="P121" s="5">
        <v>0.37847222222222221</v>
      </c>
      <c r="Q121" s="7">
        <f t="shared" ref="Q121:Q125" si="9">P121 + (R121 / 24)</f>
        <v>0.80555555555555558</v>
      </c>
      <c r="R121" s="6">
        <v>10.25</v>
      </c>
      <c r="S121" s="3">
        <v>46012</v>
      </c>
    </row>
    <row r="122" hidden="1" ht="15.75" customHeight="1">
      <c r="A122" s="3">
        <v>46011</v>
      </c>
      <c r="B122" s="4" t="s">
        <v>32</v>
      </c>
      <c r="C122" s="4" t="s">
        <v>33</v>
      </c>
      <c r="D122" s="4" t="s">
        <v>17</v>
      </c>
      <c r="E122" s="5">
        <v>0.40763888888888888</v>
      </c>
      <c r="F122" s="6">
        <v>9.5500000000000007</v>
      </c>
      <c r="G122" s="4" t="s">
        <v>18</v>
      </c>
      <c r="H122" s="4" t="s">
        <v>19</v>
      </c>
      <c r="I122" s="4" t="s">
        <v>20</v>
      </c>
      <c r="J122" s="4" t="s">
        <v>21</v>
      </c>
      <c r="N122" s="3">
        <v>46011</v>
      </c>
      <c r="O122" s="4" t="s">
        <v>32</v>
      </c>
      <c r="P122" s="5">
        <v>0.40763888888888888</v>
      </c>
      <c r="Q122" s="7">
        <f t="shared" si="9"/>
        <v>0.80555555555555558</v>
      </c>
      <c r="R122" s="6">
        <v>9.5500000000000007</v>
      </c>
      <c r="S122" s="3">
        <v>46012</v>
      </c>
    </row>
    <row r="123" hidden="1" ht="15.75" customHeight="1">
      <c r="A123" s="3">
        <v>46011</v>
      </c>
      <c r="B123" s="4" t="s">
        <v>24</v>
      </c>
      <c r="C123" s="4" t="s">
        <v>25</v>
      </c>
      <c r="D123" s="4" t="s">
        <v>17</v>
      </c>
      <c r="E123" s="5">
        <v>0.41111111111111109</v>
      </c>
      <c r="F123" s="6">
        <v>12.16</v>
      </c>
      <c r="G123" s="4" t="s">
        <v>26</v>
      </c>
      <c r="H123" s="4" t="s">
        <v>19</v>
      </c>
      <c r="I123" s="4" t="s">
        <v>20</v>
      </c>
      <c r="J123" s="4" t="s">
        <v>27</v>
      </c>
      <c r="N123" s="3">
        <v>46011</v>
      </c>
      <c r="O123" s="4" t="s">
        <v>24</v>
      </c>
      <c r="P123" s="5">
        <v>0.41111111111111109</v>
      </c>
      <c r="Q123" s="7">
        <f t="shared" si="9"/>
        <v>0.9177777777777778</v>
      </c>
      <c r="R123" s="6">
        <v>12.16</v>
      </c>
      <c r="S123" s="3">
        <v>46012</v>
      </c>
    </row>
    <row r="124" hidden="1" ht="15.75" customHeight="1">
      <c r="A124" s="3">
        <v>46011</v>
      </c>
      <c r="B124" s="4" t="s">
        <v>28</v>
      </c>
      <c r="C124" s="4" t="s">
        <v>29</v>
      </c>
      <c r="D124" s="4" t="s">
        <v>17</v>
      </c>
      <c r="E124" s="5">
        <v>0.41458333333333336</v>
      </c>
      <c r="F124" s="6">
        <v>12.02</v>
      </c>
      <c r="G124" s="4" t="s">
        <v>30</v>
      </c>
      <c r="H124" s="4" t="s">
        <v>19</v>
      </c>
      <c r="I124" s="4" t="s">
        <v>20</v>
      </c>
      <c r="J124" s="4" t="s">
        <v>31</v>
      </c>
      <c r="N124" s="3">
        <v>46011</v>
      </c>
      <c r="O124" s="4" t="s">
        <v>28</v>
      </c>
      <c r="P124" s="5">
        <v>0.41458333333333336</v>
      </c>
      <c r="Q124" s="7">
        <f t="shared" si="9"/>
        <v>0.91541666666666677</v>
      </c>
      <c r="R124" s="6">
        <v>12.02</v>
      </c>
      <c r="S124" s="3">
        <v>46012</v>
      </c>
    </row>
    <row r="125" hidden="1" ht="15.75" customHeight="1">
      <c r="A125" s="3">
        <v>46011</v>
      </c>
      <c r="B125" s="4" t="s">
        <v>36</v>
      </c>
      <c r="C125" s="4" t="s">
        <v>37</v>
      </c>
      <c r="D125" s="4" t="s">
        <v>17</v>
      </c>
      <c r="E125" s="5">
        <v>0.41944444444444445</v>
      </c>
      <c r="F125" s="6">
        <v>6.2699999999999996</v>
      </c>
      <c r="G125" s="4" t="s">
        <v>18</v>
      </c>
      <c r="H125" s="4" t="s">
        <v>19</v>
      </c>
      <c r="I125" s="4" t="s">
        <v>20</v>
      </c>
      <c r="J125" s="4" t="s">
        <v>21</v>
      </c>
      <c r="N125" s="3">
        <v>46011</v>
      </c>
      <c r="O125" s="4" t="s">
        <v>36</v>
      </c>
      <c r="P125" s="5">
        <v>0.41944444444444445</v>
      </c>
      <c r="Q125" s="7">
        <f t="shared" si="9"/>
        <v>0.68069444444444449</v>
      </c>
      <c r="R125" s="6">
        <v>6.2699999999999996</v>
      </c>
      <c r="S125" s="3">
        <v>46013</v>
      </c>
    </row>
    <row r="126" ht="15.75" customHeight="1">
      <c r="A126" s="3">
        <v>46011</v>
      </c>
      <c r="B126" s="4" t="s">
        <v>36</v>
      </c>
      <c r="C126" s="4" t="s">
        <v>37</v>
      </c>
      <c r="D126" s="4" t="s">
        <v>38</v>
      </c>
      <c r="E126" s="5">
        <v>0.68055555555555558</v>
      </c>
      <c r="F126" s="4"/>
      <c r="G126" s="4" t="s">
        <v>18</v>
      </c>
      <c r="H126" s="4" t="s">
        <v>19</v>
      </c>
      <c r="I126" s="4" t="s">
        <v>20</v>
      </c>
      <c r="J126" s="4" t="s">
        <v>21</v>
      </c>
    </row>
    <row r="127" ht="15.75" customHeight="1">
      <c r="A127" s="3">
        <v>46011</v>
      </c>
      <c r="B127" s="4" t="s">
        <v>22</v>
      </c>
      <c r="C127" s="4" t="s">
        <v>23</v>
      </c>
      <c r="D127" s="4" t="s">
        <v>38</v>
      </c>
      <c r="E127" s="5">
        <v>0.80555555555555558</v>
      </c>
      <c r="F127" s="4"/>
      <c r="G127" s="4" t="s">
        <v>18</v>
      </c>
      <c r="H127" s="4" t="s">
        <v>19</v>
      </c>
      <c r="I127" s="4" t="s">
        <v>20</v>
      </c>
      <c r="J127" s="4" t="s">
        <v>21</v>
      </c>
    </row>
    <row r="128" ht="15.75" customHeight="1">
      <c r="A128" s="3">
        <v>46011</v>
      </c>
      <c r="B128" s="4" t="s">
        <v>32</v>
      </c>
      <c r="C128" s="4" t="s">
        <v>33</v>
      </c>
      <c r="D128" s="4" t="s">
        <v>38</v>
      </c>
      <c r="E128" s="5">
        <v>0.80555555555555558</v>
      </c>
      <c r="F128" s="4"/>
      <c r="G128" s="4" t="s">
        <v>18</v>
      </c>
      <c r="H128" s="4" t="s">
        <v>19</v>
      </c>
      <c r="I128" s="4" t="s">
        <v>20</v>
      </c>
      <c r="J128" s="4" t="s">
        <v>21</v>
      </c>
    </row>
    <row r="129" ht="15.75" customHeight="1">
      <c r="A129" s="3">
        <v>46011</v>
      </c>
      <c r="B129" s="4" t="s">
        <v>28</v>
      </c>
      <c r="C129" s="4" t="s">
        <v>29</v>
      </c>
      <c r="D129" s="4" t="s">
        <v>38</v>
      </c>
      <c r="E129" s="5">
        <v>0.91597222222222219</v>
      </c>
      <c r="F129" s="4"/>
      <c r="G129" s="4" t="s">
        <v>30</v>
      </c>
      <c r="H129" s="4" t="s">
        <v>19</v>
      </c>
      <c r="I129" s="4" t="s">
        <v>20</v>
      </c>
      <c r="J129" s="4" t="s">
        <v>31</v>
      </c>
    </row>
    <row r="130" ht="15.75" customHeight="1">
      <c r="A130" s="3">
        <v>46011</v>
      </c>
      <c r="B130" s="4" t="s">
        <v>24</v>
      </c>
      <c r="C130" s="4" t="s">
        <v>25</v>
      </c>
      <c r="D130" s="4" t="s">
        <v>38</v>
      </c>
      <c r="E130" s="5">
        <v>0.91736111111111107</v>
      </c>
      <c r="F130" s="4"/>
      <c r="G130" s="4" t="s">
        <v>26</v>
      </c>
      <c r="H130" s="4" t="s">
        <v>19</v>
      </c>
      <c r="I130" s="4" t="s">
        <v>20</v>
      </c>
      <c r="J130" s="4" t="s">
        <v>27</v>
      </c>
    </row>
    <row r="131" hidden="1" ht="15.75" customHeight="1">
      <c r="A131" s="3">
        <v>46012</v>
      </c>
      <c r="B131" s="4" t="s">
        <v>22</v>
      </c>
      <c r="C131" s="4" t="s">
        <v>23</v>
      </c>
      <c r="D131" s="4" t="s">
        <v>17</v>
      </c>
      <c r="E131" s="5">
        <v>0.39097222222222222</v>
      </c>
      <c r="F131" s="6">
        <v>10.289999999999999</v>
      </c>
      <c r="G131" s="4" t="s">
        <v>18</v>
      </c>
      <c r="H131" s="4" t="s">
        <v>19</v>
      </c>
      <c r="I131" s="4" t="s">
        <v>20</v>
      </c>
      <c r="J131" s="4" t="s">
        <v>21</v>
      </c>
      <c r="N131" s="3">
        <v>46012</v>
      </c>
      <c r="O131" s="4" t="s">
        <v>22</v>
      </c>
      <c r="P131" s="5">
        <v>0.39097222222222222</v>
      </c>
      <c r="Q131" s="7">
        <f t="shared" ref="Q131:Q135" si="10">P131 + (R131 / 24)</f>
        <v>0.81972222222222224</v>
      </c>
      <c r="R131" s="6">
        <v>10.289999999999999</v>
      </c>
      <c r="S131" s="3">
        <v>46013</v>
      </c>
    </row>
    <row r="132" hidden="1" ht="15.75" customHeight="1">
      <c r="A132" s="3">
        <v>46012</v>
      </c>
      <c r="B132" s="4" t="s">
        <v>24</v>
      </c>
      <c r="C132" s="4" t="s">
        <v>25</v>
      </c>
      <c r="D132" s="4" t="s">
        <v>17</v>
      </c>
      <c r="E132" s="5">
        <v>0.41180555555555554</v>
      </c>
      <c r="F132" s="6">
        <v>12.140000000000001</v>
      </c>
      <c r="G132" s="4" t="s">
        <v>26</v>
      </c>
      <c r="H132" s="4" t="s">
        <v>19</v>
      </c>
      <c r="I132" s="4" t="s">
        <v>20</v>
      </c>
      <c r="J132" s="4" t="s">
        <v>27</v>
      </c>
      <c r="N132" s="3">
        <v>46012</v>
      </c>
      <c r="O132" s="4" t="s">
        <v>24</v>
      </c>
      <c r="P132" s="5">
        <v>0.41180555555555554</v>
      </c>
      <c r="Q132" s="7">
        <f t="shared" si="10"/>
        <v>0.91763888888888889</v>
      </c>
      <c r="R132" s="6">
        <v>12.140000000000001</v>
      </c>
      <c r="S132" s="3">
        <v>46013</v>
      </c>
    </row>
    <row r="133" hidden="1" ht="15.75" customHeight="1">
      <c r="A133" s="3">
        <v>46012</v>
      </c>
      <c r="B133" s="4" t="s">
        <v>28</v>
      </c>
      <c r="C133" s="4" t="s">
        <v>29</v>
      </c>
      <c r="D133" s="4" t="s">
        <v>17</v>
      </c>
      <c r="E133" s="5">
        <v>0.41388888888888886</v>
      </c>
      <c r="F133" s="6">
        <v>12.06</v>
      </c>
      <c r="G133" s="4" t="s">
        <v>30</v>
      </c>
      <c r="H133" s="4" t="s">
        <v>19</v>
      </c>
      <c r="I133" s="4" t="s">
        <v>20</v>
      </c>
      <c r="J133" s="4" t="s">
        <v>31</v>
      </c>
      <c r="N133" s="3">
        <v>46012</v>
      </c>
      <c r="O133" s="4" t="s">
        <v>28</v>
      </c>
      <c r="P133" s="5">
        <v>0.41388888888888886</v>
      </c>
      <c r="Q133" s="7">
        <f t="shared" si="10"/>
        <v>0.91638888888888892</v>
      </c>
      <c r="R133" s="6">
        <v>12.06</v>
      </c>
      <c r="S133" s="3">
        <v>46013</v>
      </c>
    </row>
    <row r="134" hidden="1" ht="15.75" customHeight="1">
      <c r="A134" s="3">
        <v>46012</v>
      </c>
      <c r="B134" s="4" t="s">
        <v>39</v>
      </c>
      <c r="C134" s="4" t="s">
        <v>40</v>
      </c>
      <c r="D134" s="4" t="s">
        <v>17</v>
      </c>
      <c r="E134" s="5">
        <v>0.42083333333333334</v>
      </c>
      <c r="F134" s="6">
        <v>9.0099999999999998</v>
      </c>
      <c r="G134" s="4" t="s">
        <v>18</v>
      </c>
      <c r="H134" s="4" t="s">
        <v>19</v>
      </c>
      <c r="I134" s="4" t="s">
        <v>20</v>
      </c>
      <c r="J134" s="4" t="s">
        <v>21</v>
      </c>
      <c r="N134" s="3">
        <v>46012</v>
      </c>
      <c r="O134" s="4" t="s">
        <v>39</v>
      </c>
      <c r="P134" s="5">
        <v>0.42083333333333334</v>
      </c>
      <c r="Q134" s="7">
        <f t="shared" si="10"/>
        <v>0.79625000000000001</v>
      </c>
      <c r="R134" s="6">
        <v>9.0099999999999998</v>
      </c>
      <c r="S134" s="3">
        <v>46013</v>
      </c>
    </row>
    <row r="135" hidden="1" ht="15.75" customHeight="1">
      <c r="A135" s="3">
        <v>46012</v>
      </c>
      <c r="B135" s="4" t="s">
        <v>32</v>
      </c>
      <c r="C135" s="4" t="s">
        <v>33</v>
      </c>
      <c r="D135" s="4" t="s">
        <v>17</v>
      </c>
      <c r="E135" s="5">
        <v>0.43402777777777779</v>
      </c>
      <c r="F135" s="6">
        <v>8.7899999999999991</v>
      </c>
      <c r="G135" s="4" t="s">
        <v>18</v>
      </c>
      <c r="H135" s="4" t="s">
        <v>19</v>
      </c>
      <c r="I135" s="4" t="s">
        <v>20</v>
      </c>
      <c r="J135" s="4" t="s">
        <v>21</v>
      </c>
      <c r="N135" s="3">
        <v>46012</v>
      </c>
      <c r="O135" s="4" t="s">
        <v>32</v>
      </c>
      <c r="P135" s="5">
        <v>0.43402777777777779</v>
      </c>
      <c r="Q135" s="7">
        <f t="shared" si="10"/>
        <v>0.80027777777777775</v>
      </c>
      <c r="R135" s="6">
        <v>8.7899999999999991</v>
      </c>
      <c r="S135" s="3">
        <v>46013</v>
      </c>
    </row>
    <row r="136" ht="15.75" customHeight="1">
      <c r="A136" s="3">
        <v>46012</v>
      </c>
      <c r="B136" s="4" t="s">
        <v>39</v>
      </c>
      <c r="C136" s="4" t="s">
        <v>40</v>
      </c>
      <c r="D136" s="4" t="s">
        <v>38</v>
      </c>
      <c r="E136" s="5">
        <v>0.79652777777777772</v>
      </c>
      <c r="F136" s="4"/>
      <c r="G136" s="4" t="s">
        <v>18</v>
      </c>
      <c r="H136" s="4" t="s">
        <v>19</v>
      </c>
      <c r="I136" s="4" t="s">
        <v>20</v>
      </c>
      <c r="J136" s="4" t="s">
        <v>21</v>
      </c>
    </row>
    <row r="137" ht="15.75" customHeight="1">
      <c r="A137" s="3">
        <v>46012</v>
      </c>
      <c r="B137" s="4" t="s">
        <v>32</v>
      </c>
      <c r="C137" s="4" t="s">
        <v>33</v>
      </c>
      <c r="D137" s="4" t="s">
        <v>38</v>
      </c>
      <c r="E137" s="5">
        <v>0.80000000000000004</v>
      </c>
      <c r="F137" s="4"/>
      <c r="G137" s="4" t="s">
        <v>18</v>
      </c>
      <c r="H137" s="4" t="s">
        <v>19</v>
      </c>
      <c r="I137" s="4" t="s">
        <v>20</v>
      </c>
      <c r="J137" s="4" t="s">
        <v>21</v>
      </c>
    </row>
    <row r="138" ht="15.75" customHeight="1">
      <c r="A138" s="3">
        <v>46012</v>
      </c>
      <c r="B138" s="4" t="s">
        <v>22</v>
      </c>
      <c r="C138" s="4" t="s">
        <v>23</v>
      </c>
      <c r="D138" s="4" t="s">
        <v>38</v>
      </c>
      <c r="E138" s="5">
        <v>0.82013888888888886</v>
      </c>
      <c r="F138" s="4"/>
      <c r="G138" s="4" t="s">
        <v>18</v>
      </c>
      <c r="H138" s="4" t="s">
        <v>19</v>
      </c>
      <c r="I138" s="4" t="s">
        <v>20</v>
      </c>
      <c r="J138" s="4" t="s">
        <v>21</v>
      </c>
    </row>
    <row r="139" ht="15.75" customHeight="1">
      <c r="A139" s="3">
        <v>46012</v>
      </c>
      <c r="B139" s="4" t="s">
        <v>28</v>
      </c>
      <c r="C139" s="4" t="s">
        <v>29</v>
      </c>
      <c r="D139" s="4" t="s">
        <v>38</v>
      </c>
      <c r="E139" s="5">
        <v>0.91666666666666663</v>
      </c>
      <c r="F139" s="4"/>
      <c r="G139" s="4" t="s">
        <v>30</v>
      </c>
      <c r="H139" s="4" t="s">
        <v>19</v>
      </c>
      <c r="I139" s="4" t="s">
        <v>20</v>
      </c>
      <c r="J139" s="4" t="s">
        <v>31</v>
      </c>
    </row>
    <row r="140" ht="15.75" customHeight="1">
      <c r="A140" s="3">
        <v>46012</v>
      </c>
      <c r="B140" s="4" t="s">
        <v>24</v>
      </c>
      <c r="C140" s="4" t="s">
        <v>25</v>
      </c>
      <c r="D140" s="4" t="s">
        <v>38</v>
      </c>
      <c r="E140" s="5">
        <v>0.91805555555555551</v>
      </c>
      <c r="F140" s="4"/>
      <c r="G140" s="4" t="s">
        <v>26</v>
      </c>
      <c r="H140" s="4" t="s">
        <v>19</v>
      </c>
      <c r="I140" s="4" t="s">
        <v>20</v>
      </c>
      <c r="J140" s="4" t="s">
        <v>27</v>
      </c>
    </row>
    <row r="141" hidden="1" ht="15.75" customHeight="1">
      <c r="A141" s="3">
        <v>46013</v>
      </c>
      <c r="B141" s="4" t="s">
        <v>32</v>
      </c>
      <c r="C141" s="4" t="s">
        <v>33</v>
      </c>
      <c r="D141" s="4" t="s">
        <v>17</v>
      </c>
      <c r="E141" s="5">
        <v>0.37847222222222221</v>
      </c>
      <c r="F141" s="6">
        <v>9.4299999999999997</v>
      </c>
      <c r="G141" s="4" t="s">
        <v>18</v>
      </c>
      <c r="H141" s="4" t="s">
        <v>19</v>
      </c>
      <c r="I141" s="4" t="s">
        <v>20</v>
      </c>
      <c r="J141" s="4" t="s">
        <v>21</v>
      </c>
      <c r="N141" s="3">
        <v>46013</v>
      </c>
      <c r="O141" s="4" t="s">
        <v>32</v>
      </c>
      <c r="P141" s="5">
        <v>0.37847222222222221</v>
      </c>
      <c r="Q141" s="7">
        <f t="shared" ref="Q141:Q148" si="11">P141 + (R141 / 24)</f>
        <v>0.7713888888888889</v>
      </c>
      <c r="R141" s="6">
        <v>9.4299999999999997</v>
      </c>
      <c r="S141" s="3">
        <v>46013</v>
      </c>
    </row>
    <row r="142" hidden="1" ht="15.75" customHeight="1">
      <c r="A142" s="3">
        <v>46013</v>
      </c>
      <c r="B142" s="4" t="s">
        <v>15</v>
      </c>
      <c r="C142" s="4" t="s">
        <v>16</v>
      </c>
      <c r="D142" s="4" t="s">
        <v>17</v>
      </c>
      <c r="E142" s="5">
        <v>0.39166666666666666</v>
      </c>
      <c r="F142" s="6">
        <v>9.1099999999999994</v>
      </c>
      <c r="G142" s="4" t="s">
        <v>18</v>
      </c>
      <c r="H142" s="4" t="s">
        <v>19</v>
      </c>
      <c r="I142" s="4" t="s">
        <v>20</v>
      </c>
      <c r="J142" s="4" t="s">
        <v>21</v>
      </c>
      <c r="N142" s="3">
        <v>46013</v>
      </c>
      <c r="O142" s="4" t="s">
        <v>15</v>
      </c>
      <c r="P142" s="5">
        <v>0.39166666666666666</v>
      </c>
      <c r="Q142" s="7">
        <f t="shared" si="11"/>
        <v>0.77124999999999999</v>
      </c>
      <c r="R142" s="6">
        <v>9.1099999999999994</v>
      </c>
      <c r="S142" s="3">
        <v>46013</v>
      </c>
    </row>
    <row r="143" hidden="1" ht="15.75" customHeight="1">
      <c r="A143" s="3">
        <v>46013</v>
      </c>
      <c r="B143" s="4" t="s">
        <v>22</v>
      </c>
      <c r="C143" s="4" t="s">
        <v>23</v>
      </c>
      <c r="D143" s="4" t="s">
        <v>17</v>
      </c>
      <c r="E143" s="5">
        <v>0.40416666666666667</v>
      </c>
      <c r="F143" s="6">
        <v>8.7899999999999991</v>
      </c>
      <c r="G143" s="4" t="s">
        <v>18</v>
      </c>
      <c r="H143" s="4" t="s">
        <v>19</v>
      </c>
      <c r="I143" s="4" t="s">
        <v>20</v>
      </c>
      <c r="J143" s="4" t="s">
        <v>21</v>
      </c>
      <c r="N143" s="3">
        <v>46013</v>
      </c>
      <c r="O143" s="4" t="s">
        <v>22</v>
      </c>
      <c r="P143" s="5">
        <v>0.40416666666666667</v>
      </c>
      <c r="Q143" s="7">
        <f t="shared" si="11"/>
        <v>0.77041666666666664</v>
      </c>
      <c r="R143" s="6">
        <v>8.7899999999999991</v>
      </c>
      <c r="S143" s="3">
        <v>46014</v>
      </c>
    </row>
    <row r="144" hidden="1" ht="15.75" customHeight="1">
      <c r="A144" s="3">
        <v>46013</v>
      </c>
      <c r="B144" s="4" t="s">
        <v>24</v>
      </c>
      <c r="C144" s="4" t="s">
        <v>25</v>
      </c>
      <c r="D144" s="4" t="s">
        <v>17</v>
      </c>
      <c r="E144" s="5">
        <v>0.41319444444444442</v>
      </c>
      <c r="F144" s="6">
        <v>8.1500000000000004</v>
      </c>
      <c r="G144" s="4" t="s">
        <v>26</v>
      </c>
      <c r="H144" s="4" t="s">
        <v>19</v>
      </c>
      <c r="I144" s="4" t="s">
        <v>20</v>
      </c>
      <c r="J144" s="4" t="s">
        <v>27</v>
      </c>
      <c r="N144" s="3">
        <v>46013</v>
      </c>
      <c r="O144" s="4" t="s">
        <v>24</v>
      </c>
      <c r="P144" s="5">
        <v>0.41319444444444442</v>
      </c>
      <c r="Q144" s="7">
        <f t="shared" si="11"/>
        <v>0.75277777777777777</v>
      </c>
      <c r="R144" s="6">
        <v>8.1500000000000004</v>
      </c>
      <c r="S144" s="3">
        <v>46014</v>
      </c>
    </row>
    <row r="145" hidden="1" ht="15.75" customHeight="1">
      <c r="A145" s="3">
        <v>46013</v>
      </c>
      <c r="B145" s="4" t="s">
        <v>28</v>
      </c>
      <c r="C145" s="4" t="s">
        <v>29</v>
      </c>
      <c r="D145" s="4" t="s">
        <v>17</v>
      </c>
      <c r="E145" s="5">
        <v>0.41458333333333336</v>
      </c>
      <c r="F145" s="6">
        <v>8.0899999999999999</v>
      </c>
      <c r="G145" s="4" t="s">
        <v>30</v>
      </c>
      <c r="H145" s="4" t="s">
        <v>19</v>
      </c>
      <c r="I145" s="4" t="s">
        <v>20</v>
      </c>
      <c r="J145" s="4" t="s">
        <v>31</v>
      </c>
      <c r="N145" s="3">
        <v>46013</v>
      </c>
      <c r="O145" s="4" t="s">
        <v>28</v>
      </c>
      <c r="P145" s="5">
        <v>0.41458333333333336</v>
      </c>
      <c r="Q145" s="7">
        <f t="shared" si="11"/>
        <v>0.75166666666666671</v>
      </c>
      <c r="R145" s="6">
        <v>8.0899999999999999</v>
      </c>
      <c r="S145" s="3">
        <v>46014</v>
      </c>
    </row>
    <row r="146" hidden="1" ht="15.75" customHeight="1">
      <c r="A146" s="3">
        <v>46013</v>
      </c>
      <c r="B146" s="4" t="s">
        <v>36</v>
      </c>
      <c r="C146" s="4" t="s">
        <v>37</v>
      </c>
      <c r="D146" s="4" t="s">
        <v>17</v>
      </c>
      <c r="E146" s="5">
        <v>0.4284722222222222</v>
      </c>
      <c r="F146" s="6">
        <v>8.2100000000000009</v>
      </c>
      <c r="G146" s="4" t="s">
        <v>18</v>
      </c>
      <c r="H146" s="4" t="s">
        <v>19</v>
      </c>
      <c r="I146" s="4" t="s">
        <v>20</v>
      </c>
      <c r="J146" s="4" t="s">
        <v>21</v>
      </c>
      <c r="N146" s="3">
        <v>46013</v>
      </c>
      <c r="O146" s="4" t="s">
        <v>36</v>
      </c>
      <c r="P146" s="5">
        <v>0.4284722222222222</v>
      </c>
      <c r="Q146" s="7">
        <f t="shared" si="11"/>
        <v>0.77055555555555555</v>
      </c>
      <c r="R146" s="6">
        <v>8.2100000000000009</v>
      </c>
      <c r="S146" s="3">
        <v>46014</v>
      </c>
    </row>
    <row r="147" hidden="1" ht="15.75" customHeight="1">
      <c r="A147" s="3">
        <v>46013</v>
      </c>
      <c r="B147" s="4" t="s">
        <v>39</v>
      </c>
      <c r="C147" s="4" t="s">
        <v>40</v>
      </c>
      <c r="D147" s="4" t="s">
        <v>17</v>
      </c>
      <c r="E147" s="5">
        <v>0.42986111111111114</v>
      </c>
      <c r="F147" s="6">
        <v>8.2100000000000009</v>
      </c>
      <c r="G147" s="4" t="s">
        <v>18</v>
      </c>
      <c r="H147" s="4" t="s">
        <v>19</v>
      </c>
      <c r="I147" s="4" t="s">
        <v>20</v>
      </c>
      <c r="J147" s="4" t="s">
        <v>21</v>
      </c>
      <c r="N147" s="3">
        <v>46013</v>
      </c>
      <c r="O147" s="4" t="s">
        <v>39</v>
      </c>
      <c r="P147" s="5">
        <v>0.42986111111111114</v>
      </c>
      <c r="Q147" s="7">
        <f t="shared" si="11"/>
        <v>0.77194444444444454</v>
      </c>
      <c r="R147" s="6">
        <v>8.2100000000000009</v>
      </c>
      <c r="S147" s="3">
        <v>46014</v>
      </c>
    </row>
    <row r="148" hidden="1" ht="15.75" customHeight="1">
      <c r="A148" s="3">
        <v>46013</v>
      </c>
      <c r="B148" s="4" t="s">
        <v>34</v>
      </c>
      <c r="C148" s="4" t="s">
        <v>35</v>
      </c>
      <c r="D148" s="4" t="s">
        <v>17</v>
      </c>
      <c r="E148" s="5">
        <v>0.43055555555555558</v>
      </c>
      <c r="F148" s="6">
        <v>8.1699999999999999</v>
      </c>
      <c r="G148" s="4" t="s">
        <v>18</v>
      </c>
      <c r="H148" s="4" t="s">
        <v>19</v>
      </c>
      <c r="I148" s="4" t="s">
        <v>20</v>
      </c>
      <c r="J148" s="4" t="s">
        <v>21</v>
      </c>
      <c r="N148" s="3">
        <v>46013</v>
      </c>
      <c r="O148" s="4" t="s">
        <v>34</v>
      </c>
      <c r="P148" s="5">
        <v>0.43055555555555558</v>
      </c>
      <c r="Q148" s="7">
        <f t="shared" si="11"/>
        <v>0.77097222222222217</v>
      </c>
      <c r="R148" s="6">
        <v>8.1699999999999999</v>
      </c>
      <c r="S148" s="3">
        <v>46014</v>
      </c>
    </row>
    <row r="149" ht="15.75" customHeight="1">
      <c r="A149" s="3">
        <v>46013</v>
      </c>
      <c r="B149" s="4" t="s">
        <v>28</v>
      </c>
      <c r="C149" s="4" t="s">
        <v>29</v>
      </c>
      <c r="D149" s="4" t="s">
        <v>38</v>
      </c>
      <c r="E149" s="5">
        <v>0.75138888888888888</v>
      </c>
      <c r="F149" s="4"/>
      <c r="G149" s="4" t="s">
        <v>30</v>
      </c>
      <c r="H149" s="4" t="s">
        <v>19</v>
      </c>
      <c r="I149" s="4" t="s">
        <v>20</v>
      </c>
      <c r="J149" s="4" t="s">
        <v>31</v>
      </c>
    </row>
    <row r="150" ht="15.75" customHeight="1">
      <c r="A150" s="3">
        <v>46013</v>
      </c>
      <c r="B150" s="4" t="s">
        <v>24</v>
      </c>
      <c r="C150" s="4" t="s">
        <v>25</v>
      </c>
      <c r="D150" s="4" t="s">
        <v>38</v>
      </c>
      <c r="E150" s="5">
        <v>0.75277777777777777</v>
      </c>
      <c r="F150" s="4"/>
      <c r="G150" s="4" t="s">
        <v>26</v>
      </c>
      <c r="H150" s="4" t="s">
        <v>19</v>
      </c>
      <c r="I150" s="4" t="s">
        <v>20</v>
      </c>
      <c r="J150" s="4" t="s">
        <v>27</v>
      </c>
    </row>
    <row r="151" ht="15.75" customHeight="1">
      <c r="A151" s="3">
        <v>46013</v>
      </c>
      <c r="B151" s="4" t="s">
        <v>36</v>
      </c>
      <c r="C151" s="4" t="s">
        <v>37</v>
      </c>
      <c r="D151" s="4" t="s">
        <v>38</v>
      </c>
      <c r="E151" s="5">
        <v>0.77083333333333337</v>
      </c>
      <c r="F151" s="4"/>
      <c r="G151" s="4" t="s">
        <v>18</v>
      </c>
      <c r="H151" s="4" t="s">
        <v>19</v>
      </c>
      <c r="I151" s="4" t="s">
        <v>20</v>
      </c>
      <c r="J151" s="4" t="s">
        <v>21</v>
      </c>
    </row>
    <row r="152" ht="15.75" customHeight="1">
      <c r="A152" s="3">
        <v>46013</v>
      </c>
      <c r="B152" s="4" t="s">
        <v>22</v>
      </c>
      <c r="C152" s="4" t="s">
        <v>23</v>
      </c>
      <c r="D152" s="4" t="s">
        <v>38</v>
      </c>
      <c r="E152" s="5">
        <v>0.77083333333333337</v>
      </c>
      <c r="F152" s="4"/>
      <c r="G152" s="4" t="s">
        <v>18</v>
      </c>
      <c r="H152" s="4" t="s">
        <v>19</v>
      </c>
      <c r="I152" s="4" t="s">
        <v>20</v>
      </c>
      <c r="J152" s="4" t="s">
        <v>21</v>
      </c>
    </row>
    <row r="153" ht="15.75" customHeight="1">
      <c r="A153" s="3">
        <v>46013</v>
      </c>
      <c r="B153" s="4" t="s">
        <v>34</v>
      </c>
      <c r="C153" s="4" t="s">
        <v>35</v>
      </c>
      <c r="D153" s="4" t="s">
        <v>38</v>
      </c>
      <c r="E153" s="5">
        <v>0.77083333333333337</v>
      </c>
      <c r="F153" s="4"/>
      <c r="G153" s="4" t="s">
        <v>18</v>
      </c>
      <c r="H153" s="4" t="s">
        <v>19</v>
      </c>
      <c r="I153" s="4" t="s">
        <v>20</v>
      </c>
      <c r="J153" s="4" t="s">
        <v>21</v>
      </c>
    </row>
    <row r="154" ht="15.75" customHeight="1">
      <c r="A154" s="3">
        <v>46013</v>
      </c>
      <c r="B154" s="4" t="s">
        <v>15</v>
      </c>
      <c r="C154" s="4" t="s">
        <v>16</v>
      </c>
      <c r="D154" s="4" t="s">
        <v>38</v>
      </c>
      <c r="E154" s="5">
        <v>0.77083333333333337</v>
      </c>
      <c r="F154" s="4"/>
      <c r="G154" s="4" t="s">
        <v>18</v>
      </c>
      <c r="H154" s="4" t="s">
        <v>19</v>
      </c>
      <c r="I154" s="4" t="s">
        <v>20</v>
      </c>
      <c r="J154" s="4" t="s">
        <v>21</v>
      </c>
    </row>
    <row r="155" ht="15.75" customHeight="1">
      <c r="A155" s="3">
        <v>46013</v>
      </c>
      <c r="B155" s="4" t="s">
        <v>32</v>
      </c>
      <c r="C155" s="4" t="s">
        <v>33</v>
      </c>
      <c r="D155" s="4" t="s">
        <v>38</v>
      </c>
      <c r="E155" s="5">
        <v>0.77152777777777781</v>
      </c>
      <c r="F155" s="4"/>
      <c r="G155" s="4" t="s">
        <v>18</v>
      </c>
      <c r="H155" s="4" t="s">
        <v>19</v>
      </c>
      <c r="I155" s="4" t="s">
        <v>20</v>
      </c>
      <c r="J155" s="4" t="s">
        <v>21</v>
      </c>
    </row>
    <row r="156" ht="15.75" customHeight="1">
      <c r="A156" s="3">
        <v>46013</v>
      </c>
      <c r="B156" s="4" t="s">
        <v>39</v>
      </c>
      <c r="C156" s="4" t="s">
        <v>40</v>
      </c>
      <c r="D156" s="4" t="s">
        <v>38</v>
      </c>
      <c r="E156" s="5">
        <v>0.77222222222222225</v>
      </c>
      <c r="F156" s="4"/>
      <c r="G156" s="4" t="s">
        <v>18</v>
      </c>
      <c r="H156" s="4" t="s">
        <v>19</v>
      </c>
      <c r="I156" s="4" t="s">
        <v>20</v>
      </c>
      <c r="J156" s="4" t="s">
        <v>21</v>
      </c>
    </row>
    <row r="157" hidden="1" ht="15.75" customHeight="1">
      <c r="A157" s="3">
        <v>46014</v>
      </c>
      <c r="B157" s="4" t="s">
        <v>22</v>
      </c>
      <c r="C157" s="4" t="s">
        <v>23</v>
      </c>
      <c r="D157" s="4" t="s">
        <v>17</v>
      </c>
      <c r="E157" s="5">
        <v>0.38819444444444445</v>
      </c>
      <c r="F157" s="6">
        <v>10.02</v>
      </c>
      <c r="G157" s="4" t="s">
        <v>18</v>
      </c>
      <c r="H157" s="4" t="s">
        <v>19</v>
      </c>
      <c r="I157" s="4" t="s">
        <v>20</v>
      </c>
      <c r="J157" s="4" t="s">
        <v>21</v>
      </c>
      <c r="N157" s="3">
        <v>46014</v>
      </c>
      <c r="O157" s="4" t="s">
        <v>22</v>
      </c>
      <c r="P157" s="5">
        <v>0.38819444444444445</v>
      </c>
      <c r="Q157" s="7">
        <f t="shared" ref="Q157:Q161" si="12">P157 + (R157 / 24)</f>
        <v>0.80569444444444449</v>
      </c>
      <c r="R157" s="6">
        <v>10.02</v>
      </c>
      <c r="S157" s="3">
        <v>46015</v>
      </c>
    </row>
    <row r="158" hidden="1" ht="15.75" customHeight="1">
      <c r="A158" s="3">
        <v>46014</v>
      </c>
      <c r="B158" s="4" t="s">
        <v>15</v>
      </c>
      <c r="C158" s="4" t="s">
        <v>16</v>
      </c>
      <c r="D158" s="4" t="s">
        <v>17</v>
      </c>
      <c r="E158" s="5">
        <v>0.3888888888888889</v>
      </c>
      <c r="F158" s="6">
        <v>5.7400000000000002</v>
      </c>
      <c r="G158" s="4" t="s">
        <v>18</v>
      </c>
      <c r="H158" s="4" t="s">
        <v>19</v>
      </c>
      <c r="I158" s="4" t="s">
        <v>20</v>
      </c>
      <c r="J158" s="4" t="s">
        <v>21</v>
      </c>
      <c r="N158" s="3">
        <v>46014</v>
      </c>
      <c r="O158" s="4" t="s">
        <v>15</v>
      </c>
      <c r="P158" s="5">
        <v>0.3888888888888889</v>
      </c>
      <c r="Q158" s="7">
        <f t="shared" si="12"/>
        <v>0.62805555555555559</v>
      </c>
      <c r="R158" s="6">
        <v>5.7400000000000002</v>
      </c>
      <c r="S158" s="3">
        <v>46015</v>
      </c>
    </row>
    <row r="159" hidden="1" ht="15.75" customHeight="1">
      <c r="A159" s="3">
        <v>46014</v>
      </c>
      <c r="B159" s="4" t="s">
        <v>24</v>
      </c>
      <c r="C159" s="4" t="s">
        <v>25</v>
      </c>
      <c r="D159" s="4" t="s">
        <v>17</v>
      </c>
      <c r="E159" s="5">
        <v>0.41319444444444442</v>
      </c>
      <c r="F159" s="6">
        <v>12.08</v>
      </c>
      <c r="G159" s="4" t="s">
        <v>26</v>
      </c>
      <c r="H159" s="4" t="s">
        <v>19</v>
      </c>
      <c r="I159" s="4" t="s">
        <v>20</v>
      </c>
      <c r="J159" s="4" t="s">
        <v>27</v>
      </c>
      <c r="N159" s="3">
        <v>46014</v>
      </c>
      <c r="O159" s="4" t="s">
        <v>24</v>
      </c>
      <c r="P159" s="5">
        <v>0.41319444444444442</v>
      </c>
      <c r="Q159" s="7">
        <f t="shared" si="12"/>
        <v>0.91652777777777772</v>
      </c>
      <c r="R159" s="6">
        <v>12.08</v>
      </c>
      <c r="S159" s="3">
        <v>46015</v>
      </c>
    </row>
    <row r="160" hidden="1" ht="15.75" customHeight="1">
      <c r="A160" s="3">
        <v>46014</v>
      </c>
      <c r="B160" s="4" t="s">
        <v>28</v>
      </c>
      <c r="C160" s="4" t="s">
        <v>29</v>
      </c>
      <c r="D160" s="4" t="s">
        <v>17</v>
      </c>
      <c r="E160" s="5">
        <v>0.41388888888888886</v>
      </c>
      <c r="F160" s="6">
        <v>12.09</v>
      </c>
      <c r="G160" s="4" t="s">
        <v>30</v>
      </c>
      <c r="H160" s="4" t="s">
        <v>19</v>
      </c>
      <c r="I160" s="4" t="s">
        <v>20</v>
      </c>
      <c r="J160" s="4" t="s">
        <v>31</v>
      </c>
      <c r="N160" s="3">
        <v>46014</v>
      </c>
      <c r="O160" s="4" t="s">
        <v>28</v>
      </c>
      <c r="P160" s="5">
        <v>0.41388888888888886</v>
      </c>
      <c r="Q160" s="7">
        <f t="shared" si="12"/>
        <v>0.91763888888888889</v>
      </c>
      <c r="R160" s="6">
        <v>12.09</v>
      </c>
      <c r="S160" s="3">
        <v>46016</v>
      </c>
    </row>
    <row r="161" hidden="1" ht="15.75" customHeight="1">
      <c r="A161" s="3">
        <v>46014</v>
      </c>
      <c r="B161" s="4" t="s">
        <v>36</v>
      </c>
      <c r="C161" s="4" t="s">
        <v>37</v>
      </c>
      <c r="D161" s="4" t="s">
        <v>17</v>
      </c>
      <c r="E161" s="5">
        <v>0.46111111111111114</v>
      </c>
      <c r="F161" s="6">
        <v>8.2799999999999994</v>
      </c>
      <c r="G161" s="4" t="s">
        <v>18</v>
      </c>
      <c r="H161" s="4" t="s">
        <v>19</v>
      </c>
      <c r="I161" s="4" t="s">
        <v>20</v>
      </c>
      <c r="J161" s="4" t="s">
        <v>21</v>
      </c>
      <c r="N161" s="3">
        <v>46014</v>
      </c>
      <c r="O161" s="4" t="s">
        <v>36</v>
      </c>
      <c r="P161" s="5">
        <v>0.46111111111111114</v>
      </c>
      <c r="Q161" s="7">
        <f t="shared" si="12"/>
        <v>0.80611111111111111</v>
      </c>
      <c r="R161" s="6">
        <v>8.2799999999999994</v>
      </c>
      <c r="S161" s="3">
        <v>46017</v>
      </c>
    </row>
    <row r="162" ht="15.75" customHeight="1">
      <c r="A162" s="3">
        <v>46014</v>
      </c>
      <c r="B162" s="4" t="s">
        <v>15</v>
      </c>
      <c r="C162" s="4" t="s">
        <v>16</v>
      </c>
      <c r="D162" s="4" t="s">
        <v>38</v>
      </c>
      <c r="E162" s="5">
        <v>0.62777777777777777</v>
      </c>
      <c r="F162" s="4"/>
      <c r="G162" s="4" t="s">
        <v>18</v>
      </c>
      <c r="H162" s="4" t="s">
        <v>19</v>
      </c>
      <c r="I162" s="4" t="s">
        <v>20</v>
      </c>
      <c r="J162" s="4" t="s">
        <v>21</v>
      </c>
    </row>
    <row r="163" hidden="1" ht="15.75" customHeight="1">
      <c r="A163" s="3">
        <v>46014</v>
      </c>
      <c r="B163" s="4" t="s">
        <v>22</v>
      </c>
      <c r="C163" s="4" t="s">
        <v>23</v>
      </c>
      <c r="D163" s="4" t="s">
        <v>17</v>
      </c>
      <c r="E163" s="5">
        <v>0.80555555555555558</v>
      </c>
      <c r="F163" s="6">
        <v>0.01</v>
      </c>
      <c r="G163" s="4" t="s">
        <v>18</v>
      </c>
      <c r="H163" s="4" t="s">
        <v>19</v>
      </c>
      <c r="I163" s="4" t="s">
        <v>20</v>
      </c>
      <c r="J163" s="4" t="s">
        <v>21</v>
      </c>
      <c r="N163" s="3">
        <v>46014</v>
      </c>
      <c r="O163" s="4" t="s">
        <v>22</v>
      </c>
      <c r="P163" s="5">
        <v>0.80555555555555558</v>
      </c>
      <c r="Q163" s="7">
        <f>P163 + (R163 / 24)</f>
        <v>0.8059722222222222</v>
      </c>
      <c r="R163" s="6">
        <v>0.01</v>
      </c>
      <c r="S163" s="3">
        <v>46017</v>
      </c>
    </row>
    <row r="164" ht="15.75" customHeight="1">
      <c r="A164" s="3">
        <v>46014</v>
      </c>
      <c r="B164" s="4" t="s">
        <v>22</v>
      </c>
      <c r="C164" s="4" t="s">
        <v>23</v>
      </c>
      <c r="D164" s="4" t="s">
        <v>38</v>
      </c>
      <c r="E164" s="5">
        <v>0.80625000000000002</v>
      </c>
      <c r="F164" s="4"/>
      <c r="G164" s="4" t="s">
        <v>18</v>
      </c>
      <c r="H164" s="4" t="s">
        <v>19</v>
      </c>
      <c r="I164" s="4" t="s">
        <v>20</v>
      </c>
      <c r="J164" s="4" t="s">
        <v>21</v>
      </c>
    </row>
    <row r="165" ht="15.75" customHeight="1">
      <c r="A165" s="3">
        <v>46014</v>
      </c>
      <c r="B165" s="4" t="s">
        <v>36</v>
      </c>
      <c r="C165" s="4" t="s">
        <v>37</v>
      </c>
      <c r="D165" s="4" t="s">
        <v>38</v>
      </c>
      <c r="E165" s="5">
        <v>0.80625000000000002</v>
      </c>
      <c r="F165" s="4"/>
      <c r="G165" s="4" t="s">
        <v>18</v>
      </c>
      <c r="H165" s="4" t="s">
        <v>19</v>
      </c>
      <c r="I165" s="4" t="s">
        <v>20</v>
      </c>
      <c r="J165" s="4" t="s">
        <v>21</v>
      </c>
    </row>
    <row r="166" ht="15.75" customHeight="1">
      <c r="A166" s="3">
        <v>46014</v>
      </c>
      <c r="B166" s="4" t="s">
        <v>24</v>
      </c>
      <c r="C166" s="4" t="s">
        <v>25</v>
      </c>
      <c r="D166" s="4" t="s">
        <v>38</v>
      </c>
      <c r="E166" s="5">
        <v>0.91666666666666663</v>
      </c>
      <c r="F166" s="4"/>
      <c r="G166" s="4" t="s">
        <v>26</v>
      </c>
      <c r="H166" s="4" t="s">
        <v>19</v>
      </c>
      <c r="I166" s="4" t="s">
        <v>20</v>
      </c>
      <c r="J166" s="4" t="s">
        <v>27</v>
      </c>
    </row>
    <row r="167" ht="15.75" customHeight="1">
      <c r="A167" s="3">
        <v>46014</v>
      </c>
      <c r="B167" s="4" t="s">
        <v>28</v>
      </c>
      <c r="C167" s="4" t="s">
        <v>29</v>
      </c>
      <c r="D167" s="4" t="s">
        <v>38</v>
      </c>
      <c r="E167" s="5">
        <v>0.91736111111111107</v>
      </c>
      <c r="F167" s="4"/>
      <c r="G167" s="4" t="s">
        <v>30</v>
      </c>
      <c r="H167" s="4" t="s">
        <v>19</v>
      </c>
      <c r="I167" s="4" t="s">
        <v>20</v>
      </c>
      <c r="J167" s="4" t="s">
        <v>31</v>
      </c>
    </row>
    <row r="168" hidden="1" ht="15.75" customHeight="1">
      <c r="A168" s="3">
        <v>46015</v>
      </c>
      <c r="B168" s="4" t="s">
        <v>22</v>
      </c>
      <c r="C168" s="4" t="s">
        <v>23</v>
      </c>
      <c r="D168" s="4" t="s">
        <v>17</v>
      </c>
      <c r="E168" s="5">
        <v>0.35416666666666669</v>
      </c>
      <c r="F168" s="6">
        <v>10.51</v>
      </c>
      <c r="G168" s="4" t="s">
        <v>26</v>
      </c>
      <c r="H168" s="4" t="s">
        <v>19</v>
      </c>
      <c r="I168" s="4" t="s">
        <v>20</v>
      </c>
      <c r="J168" s="4" t="s">
        <v>27</v>
      </c>
      <c r="N168" s="3">
        <v>46015</v>
      </c>
      <c r="O168" s="4" t="s">
        <v>22</v>
      </c>
      <c r="P168" s="5">
        <v>0.35416666666666669</v>
      </c>
      <c r="Q168" s="7">
        <f t="shared" ref="Q168:Q170" si="13">P168 + (R168 / 24)</f>
        <v>0.79208333333333336</v>
      </c>
      <c r="R168" s="6">
        <v>10.51</v>
      </c>
      <c r="S168" s="3">
        <v>46017</v>
      </c>
    </row>
    <row r="169" hidden="1" ht="15.75" customHeight="1">
      <c r="A169" s="3">
        <v>46015</v>
      </c>
      <c r="B169" s="4" t="s">
        <v>24</v>
      </c>
      <c r="C169" s="4" t="s">
        <v>25</v>
      </c>
      <c r="D169" s="4" t="s">
        <v>17</v>
      </c>
      <c r="E169" s="5">
        <v>0.36736111111111114</v>
      </c>
      <c r="F169" s="6">
        <v>10.220000000000001</v>
      </c>
      <c r="G169" s="4" t="s">
        <v>30</v>
      </c>
      <c r="H169" s="4" t="s">
        <v>19</v>
      </c>
      <c r="I169" s="4" t="s">
        <v>20</v>
      </c>
      <c r="J169" s="4" t="s">
        <v>31</v>
      </c>
      <c r="N169" s="3">
        <v>46015</v>
      </c>
      <c r="O169" s="4" t="s">
        <v>24</v>
      </c>
      <c r="P169" s="5">
        <v>0.36736111111111114</v>
      </c>
      <c r="Q169" s="7">
        <f t="shared" si="13"/>
        <v>0.79319444444444454</v>
      </c>
      <c r="R169" s="6">
        <v>10.220000000000001</v>
      </c>
      <c r="S169" s="3">
        <v>46017</v>
      </c>
    </row>
    <row r="170" hidden="1" ht="15.75" customHeight="1">
      <c r="A170" s="3">
        <v>46015</v>
      </c>
      <c r="B170" s="4" t="s">
        <v>36</v>
      </c>
      <c r="C170" s="4" t="s">
        <v>37</v>
      </c>
      <c r="D170" s="4" t="s">
        <v>17</v>
      </c>
      <c r="E170" s="5">
        <v>0.58194444444444449</v>
      </c>
      <c r="F170" s="6">
        <v>1.45</v>
      </c>
      <c r="G170" s="4" t="s">
        <v>18</v>
      </c>
      <c r="H170" s="4" t="s">
        <v>19</v>
      </c>
      <c r="I170" s="4" t="s">
        <v>20</v>
      </c>
      <c r="J170" s="4" t="s">
        <v>21</v>
      </c>
      <c r="N170" s="3">
        <v>46015</v>
      </c>
      <c r="O170" s="4" t="s">
        <v>36</v>
      </c>
      <c r="P170" s="5">
        <v>0.58194444444444449</v>
      </c>
      <c r="Q170" s="7">
        <f t="shared" si="13"/>
        <v>0.64236111111111116</v>
      </c>
      <c r="R170" s="6">
        <v>1.45</v>
      </c>
      <c r="S170" s="3">
        <v>46017</v>
      </c>
    </row>
    <row r="171" ht="15.75" customHeight="1">
      <c r="A171" s="3">
        <v>46015</v>
      </c>
      <c r="B171" s="4" t="s">
        <v>36</v>
      </c>
      <c r="C171" s="4" t="s">
        <v>37</v>
      </c>
      <c r="D171" s="4" t="s">
        <v>38</v>
      </c>
      <c r="E171" s="5">
        <v>0.64236111111111116</v>
      </c>
      <c r="F171" s="4"/>
      <c r="G171" s="4" t="s">
        <v>18</v>
      </c>
      <c r="H171" s="4" t="s">
        <v>19</v>
      </c>
      <c r="I171" s="4" t="s">
        <v>20</v>
      </c>
      <c r="J171" s="4" t="s">
        <v>21</v>
      </c>
    </row>
    <row r="172" ht="15.75" customHeight="1">
      <c r="A172" s="3">
        <v>46015</v>
      </c>
      <c r="B172" s="4" t="s">
        <v>22</v>
      </c>
      <c r="C172" s="4" t="s">
        <v>23</v>
      </c>
      <c r="D172" s="4" t="s">
        <v>38</v>
      </c>
      <c r="E172" s="5">
        <v>0.79236111111111107</v>
      </c>
      <c r="F172" s="4"/>
      <c r="G172" s="4" t="s">
        <v>26</v>
      </c>
      <c r="H172" s="4" t="s">
        <v>19</v>
      </c>
      <c r="I172" s="4" t="s">
        <v>20</v>
      </c>
      <c r="J172" s="4" t="s">
        <v>27</v>
      </c>
    </row>
    <row r="173" ht="15.75" customHeight="1">
      <c r="A173" s="3">
        <v>46015</v>
      </c>
      <c r="B173" s="4" t="s">
        <v>24</v>
      </c>
      <c r="C173" s="4" t="s">
        <v>25</v>
      </c>
      <c r="D173" s="4" t="s">
        <v>38</v>
      </c>
      <c r="E173" s="5">
        <v>0.79305555555555551</v>
      </c>
      <c r="F173" s="4"/>
      <c r="G173" s="4" t="s">
        <v>30</v>
      </c>
      <c r="H173" s="4" t="s">
        <v>19</v>
      </c>
      <c r="I173" s="4" t="s">
        <v>20</v>
      </c>
      <c r="J173" s="4" t="s">
        <v>31</v>
      </c>
    </row>
    <row r="174" hidden="1" ht="15.75" customHeight="1">
      <c r="A174" s="3">
        <v>46016</v>
      </c>
      <c r="B174" s="4" t="s">
        <v>28</v>
      </c>
      <c r="C174" s="4" t="s">
        <v>29</v>
      </c>
      <c r="D174" s="4" t="s">
        <v>17</v>
      </c>
      <c r="E174" s="5">
        <v>0.53680555555555554</v>
      </c>
      <c r="F174" s="6">
        <v>9.1600000000000001</v>
      </c>
      <c r="G174" s="4" t="s">
        <v>30</v>
      </c>
      <c r="H174" s="4" t="s">
        <v>19</v>
      </c>
      <c r="I174" s="4" t="s">
        <v>20</v>
      </c>
      <c r="J174" s="4" t="s">
        <v>31</v>
      </c>
      <c r="N174" s="3">
        <v>46016</v>
      </c>
      <c r="O174" s="4" t="s">
        <v>28</v>
      </c>
      <c r="P174" s="5">
        <v>0.53680555555555554</v>
      </c>
      <c r="Q174" s="7">
        <f>P174 + (R174 / 24)</f>
        <v>0.91847222222222213</v>
      </c>
      <c r="R174" s="6">
        <v>9.1600000000000001</v>
      </c>
      <c r="S174" s="3">
        <v>46017</v>
      </c>
    </row>
    <row r="175" ht="15.75" customHeight="1">
      <c r="A175" s="3">
        <v>46016</v>
      </c>
      <c r="B175" s="4" t="s">
        <v>28</v>
      </c>
      <c r="C175" s="4" t="s">
        <v>29</v>
      </c>
      <c r="D175" s="4" t="s">
        <v>38</v>
      </c>
      <c r="E175" s="5">
        <v>0.91874999999999996</v>
      </c>
      <c r="F175" s="4"/>
      <c r="G175" s="4" t="s">
        <v>30</v>
      </c>
      <c r="H175" s="4" t="s">
        <v>19</v>
      </c>
      <c r="I175" s="4" t="s">
        <v>20</v>
      </c>
      <c r="J175" s="4" t="s">
        <v>31</v>
      </c>
    </row>
    <row r="176" hidden="1" ht="15.75" customHeight="1">
      <c r="A176" s="3">
        <v>46017</v>
      </c>
      <c r="B176" s="4" t="s">
        <v>32</v>
      </c>
      <c r="C176" s="4" t="s">
        <v>33</v>
      </c>
      <c r="D176" s="4" t="s">
        <v>17</v>
      </c>
      <c r="E176" s="5">
        <v>0.39861111111111114</v>
      </c>
      <c r="F176" s="6">
        <v>9.5099999999999998</v>
      </c>
      <c r="G176" s="4" t="s">
        <v>18</v>
      </c>
      <c r="H176" s="4" t="s">
        <v>19</v>
      </c>
      <c r="I176" s="4" t="s">
        <v>20</v>
      </c>
      <c r="J176" s="4" t="s">
        <v>21</v>
      </c>
      <c r="N176" s="3">
        <v>46017</v>
      </c>
      <c r="O176" s="4" t="s">
        <v>32</v>
      </c>
      <c r="P176" s="5">
        <v>0.39861111111111114</v>
      </c>
      <c r="Q176" s="7">
        <f t="shared" ref="Q176:Q182" si="14">P176 + (R176 / 24)</f>
        <v>0.79486111111111113</v>
      </c>
      <c r="R176" s="6">
        <v>9.5099999999999998</v>
      </c>
      <c r="S176" s="3">
        <v>46017</v>
      </c>
    </row>
    <row r="177" hidden="1" ht="15.75" customHeight="1">
      <c r="A177" s="3">
        <v>46017</v>
      </c>
      <c r="B177" s="4" t="s">
        <v>24</v>
      </c>
      <c r="C177" s="4" t="s">
        <v>25</v>
      </c>
      <c r="D177" s="4" t="s">
        <v>17</v>
      </c>
      <c r="E177" s="5">
        <v>0.40277777777777779</v>
      </c>
      <c r="F177" s="6">
        <v>12.83</v>
      </c>
      <c r="G177" s="4" t="s">
        <v>26</v>
      </c>
      <c r="H177" s="4" t="s">
        <v>19</v>
      </c>
      <c r="I177" s="4" t="s">
        <v>20</v>
      </c>
      <c r="J177" s="4" t="s">
        <v>27</v>
      </c>
      <c r="N177" s="3">
        <v>46017</v>
      </c>
      <c r="O177" s="4" t="s">
        <v>24</v>
      </c>
      <c r="P177" s="5">
        <v>0.40277777777777779</v>
      </c>
      <c r="Q177" s="7">
        <f t="shared" si="14"/>
        <v>0.93736111111111109</v>
      </c>
      <c r="R177" s="6">
        <v>12.83</v>
      </c>
      <c r="S177" s="3">
        <v>46018</v>
      </c>
    </row>
    <row r="178" hidden="1" ht="15.75" customHeight="1">
      <c r="A178" s="3">
        <v>46017</v>
      </c>
      <c r="B178" s="4" t="s">
        <v>22</v>
      </c>
      <c r="C178" s="4" t="s">
        <v>23</v>
      </c>
      <c r="D178" s="4" t="s">
        <v>17</v>
      </c>
      <c r="E178" s="5">
        <v>0.40972222222222221</v>
      </c>
      <c r="F178" s="6">
        <v>9.2699999999999996</v>
      </c>
      <c r="G178" s="4" t="s">
        <v>18</v>
      </c>
      <c r="H178" s="4" t="s">
        <v>19</v>
      </c>
      <c r="I178" s="4" t="s">
        <v>20</v>
      </c>
      <c r="J178" s="4" t="s">
        <v>21</v>
      </c>
      <c r="N178" s="3">
        <v>46017</v>
      </c>
      <c r="O178" s="4" t="s">
        <v>22</v>
      </c>
      <c r="P178" s="5">
        <v>0.40972222222222221</v>
      </c>
      <c r="Q178" s="7">
        <f t="shared" si="14"/>
        <v>0.79597222222222219</v>
      </c>
      <c r="R178" s="6">
        <v>9.2699999999999996</v>
      </c>
      <c r="S178" s="3">
        <v>46018</v>
      </c>
    </row>
    <row r="179" hidden="1" ht="15.75" customHeight="1">
      <c r="A179" s="3">
        <v>46017</v>
      </c>
      <c r="B179" s="4" t="s">
        <v>28</v>
      </c>
      <c r="C179" s="4" t="s">
        <v>29</v>
      </c>
      <c r="D179" s="4" t="s">
        <v>17</v>
      </c>
      <c r="E179" s="5">
        <v>0.41249999999999998</v>
      </c>
      <c r="F179" s="6">
        <v>12.09</v>
      </c>
      <c r="G179" s="4" t="s">
        <v>30</v>
      </c>
      <c r="H179" s="4" t="s">
        <v>19</v>
      </c>
      <c r="I179" s="4" t="s">
        <v>20</v>
      </c>
      <c r="J179" s="4" t="s">
        <v>31</v>
      </c>
      <c r="N179" s="3">
        <v>46017</v>
      </c>
      <c r="O179" s="4" t="s">
        <v>28</v>
      </c>
      <c r="P179" s="5">
        <v>0.41249999999999998</v>
      </c>
      <c r="Q179" s="7">
        <f t="shared" si="14"/>
        <v>0.91625000000000001</v>
      </c>
      <c r="R179" s="6">
        <v>12.09</v>
      </c>
      <c r="S179" s="3">
        <v>46018</v>
      </c>
    </row>
    <row r="180" hidden="1" ht="15.75" customHeight="1">
      <c r="A180" s="3">
        <v>46017</v>
      </c>
      <c r="B180" s="4" t="s">
        <v>39</v>
      </c>
      <c r="C180" s="4" t="s">
        <v>40</v>
      </c>
      <c r="D180" s="4" t="s">
        <v>17</v>
      </c>
      <c r="E180" s="5">
        <v>0.4236111111111111</v>
      </c>
      <c r="F180" s="6">
        <v>8.9100000000000001</v>
      </c>
      <c r="G180" s="4" t="s">
        <v>18</v>
      </c>
      <c r="H180" s="4" t="s">
        <v>19</v>
      </c>
      <c r="I180" s="4" t="s">
        <v>20</v>
      </c>
      <c r="J180" s="4" t="s">
        <v>21</v>
      </c>
      <c r="N180" s="3">
        <v>46017</v>
      </c>
      <c r="O180" s="4" t="s">
        <v>39</v>
      </c>
      <c r="P180" s="5">
        <v>0.4236111111111111</v>
      </c>
      <c r="Q180" s="7">
        <f t="shared" si="14"/>
        <v>0.79486111111111113</v>
      </c>
      <c r="R180" s="6">
        <v>8.9100000000000001</v>
      </c>
      <c r="S180" s="3">
        <v>46018</v>
      </c>
    </row>
    <row r="181" hidden="1" ht="15.75" customHeight="1">
      <c r="A181" s="3">
        <v>46017</v>
      </c>
      <c r="B181" s="4" t="s">
        <v>34</v>
      </c>
      <c r="C181" s="4" t="s">
        <v>35</v>
      </c>
      <c r="D181" s="4" t="s">
        <v>17</v>
      </c>
      <c r="E181" s="5">
        <v>0.43125000000000002</v>
      </c>
      <c r="F181" s="6">
        <v>8.7300000000000004</v>
      </c>
      <c r="G181" s="4" t="s">
        <v>18</v>
      </c>
      <c r="H181" s="4" t="s">
        <v>19</v>
      </c>
      <c r="I181" s="4" t="s">
        <v>20</v>
      </c>
      <c r="J181" s="4" t="s">
        <v>21</v>
      </c>
      <c r="N181" s="3">
        <v>46017</v>
      </c>
      <c r="O181" s="4" t="s">
        <v>34</v>
      </c>
      <c r="P181" s="5">
        <v>0.43125000000000002</v>
      </c>
      <c r="Q181" s="7">
        <f t="shared" si="14"/>
        <v>0.79500000000000004</v>
      </c>
      <c r="R181" s="6">
        <v>8.7300000000000004</v>
      </c>
      <c r="S181" s="3">
        <v>46019</v>
      </c>
    </row>
    <row r="182" hidden="1" ht="15.75" customHeight="1">
      <c r="A182" s="3">
        <v>46017</v>
      </c>
      <c r="B182" s="4" t="s">
        <v>36</v>
      </c>
      <c r="C182" s="4" t="s">
        <v>37</v>
      </c>
      <c r="D182" s="4" t="s">
        <v>17</v>
      </c>
      <c r="E182" s="5">
        <v>0.45000000000000001</v>
      </c>
      <c r="F182" s="6">
        <v>8.3000000000000007</v>
      </c>
      <c r="G182" s="4" t="s">
        <v>18</v>
      </c>
      <c r="H182" s="4" t="s">
        <v>19</v>
      </c>
      <c r="I182" s="4" t="s">
        <v>20</v>
      </c>
      <c r="J182" s="4" t="s">
        <v>21</v>
      </c>
      <c r="N182" s="3">
        <v>46017</v>
      </c>
      <c r="O182" s="4" t="s">
        <v>36</v>
      </c>
      <c r="P182" s="5">
        <v>0.45000000000000001</v>
      </c>
      <c r="Q182" s="7">
        <f t="shared" si="14"/>
        <v>0.79583333333333339</v>
      </c>
      <c r="R182" s="6">
        <v>8.3000000000000007</v>
      </c>
      <c r="S182" s="3">
        <v>46019</v>
      </c>
    </row>
    <row r="183" ht="15.75" customHeight="1">
      <c r="A183" s="3">
        <v>46017</v>
      </c>
      <c r="B183" s="4" t="s">
        <v>32</v>
      </c>
      <c r="C183" s="4" t="s">
        <v>33</v>
      </c>
      <c r="D183" s="4" t="s">
        <v>38</v>
      </c>
      <c r="E183" s="5">
        <v>0.7944444444444444</v>
      </c>
      <c r="F183" s="4"/>
      <c r="G183" s="4" t="s">
        <v>18</v>
      </c>
      <c r="H183" s="4" t="s">
        <v>19</v>
      </c>
      <c r="I183" s="4" t="s">
        <v>20</v>
      </c>
      <c r="J183" s="4" t="s">
        <v>21</v>
      </c>
    </row>
    <row r="184" ht="15.75" customHeight="1">
      <c r="A184" s="3">
        <v>46017</v>
      </c>
      <c r="B184" s="4" t="s">
        <v>34</v>
      </c>
      <c r="C184" s="4" t="s">
        <v>35</v>
      </c>
      <c r="D184" s="4" t="s">
        <v>38</v>
      </c>
      <c r="E184" s="5">
        <v>0.7944444444444444</v>
      </c>
      <c r="F184" s="4"/>
      <c r="G184" s="4" t="s">
        <v>18</v>
      </c>
      <c r="H184" s="4" t="s">
        <v>19</v>
      </c>
      <c r="I184" s="4" t="s">
        <v>20</v>
      </c>
      <c r="J184" s="4" t="s">
        <v>21</v>
      </c>
    </row>
    <row r="185" ht="15.75" customHeight="1">
      <c r="A185" s="3">
        <v>46017</v>
      </c>
      <c r="B185" s="4" t="s">
        <v>39</v>
      </c>
      <c r="C185" s="4" t="s">
        <v>40</v>
      </c>
      <c r="D185" s="4" t="s">
        <v>38</v>
      </c>
      <c r="E185" s="5">
        <v>0.79513888888888884</v>
      </c>
      <c r="F185" s="4"/>
      <c r="G185" s="4" t="s">
        <v>18</v>
      </c>
      <c r="H185" s="4" t="s">
        <v>19</v>
      </c>
      <c r="I185" s="4" t="s">
        <v>20</v>
      </c>
      <c r="J185" s="4" t="s">
        <v>21</v>
      </c>
    </row>
    <row r="186" ht="15.75" customHeight="1">
      <c r="A186" s="3">
        <v>46017</v>
      </c>
      <c r="B186" s="4" t="s">
        <v>22</v>
      </c>
      <c r="C186" s="4" t="s">
        <v>23</v>
      </c>
      <c r="D186" s="4" t="s">
        <v>38</v>
      </c>
      <c r="E186" s="5">
        <v>0.79583333333333328</v>
      </c>
      <c r="F186" s="4"/>
      <c r="G186" s="4" t="s">
        <v>18</v>
      </c>
      <c r="H186" s="4" t="s">
        <v>19</v>
      </c>
      <c r="I186" s="4" t="s">
        <v>20</v>
      </c>
      <c r="J186" s="4" t="s">
        <v>21</v>
      </c>
    </row>
    <row r="187" ht="15.75" customHeight="1">
      <c r="A187" s="3">
        <v>46017</v>
      </c>
      <c r="B187" s="4" t="s">
        <v>36</v>
      </c>
      <c r="C187" s="4" t="s">
        <v>37</v>
      </c>
      <c r="D187" s="4" t="s">
        <v>38</v>
      </c>
      <c r="E187" s="5">
        <v>0.79583333333333328</v>
      </c>
      <c r="F187" s="4"/>
      <c r="G187" s="4" t="s">
        <v>18</v>
      </c>
      <c r="H187" s="4" t="s">
        <v>19</v>
      </c>
      <c r="I187" s="4" t="s">
        <v>20</v>
      </c>
      <c r="J187" s="4" t="s">
        <v>21</v>
      </c>
    </row>
    <row r="188" ht="15.75" customHeight="1">
      <c r="A188" s="3">
        <v>46017</v>
      </c>
      <c r="B188" s="4" t="s">
        <v>28</v>
      </c>
      <c r="C188" s="4" t="s">
        <v>29</v>
      </c>
      <c r="D188" s="4" t="s">
        <v>38</v>
      </c>
      <c r="E188" s="5">
        <v>0.91666666666666663</v>
      </c>
      <c r="F188" s="4"/>
      <c r="G188" s="4" t="s">
        <v>30</v>
      </c>
      <c r="H188" s="4" t="s">
        <v>19</v>
      </c>
      <c r="I188" s="4" t="s">
        <v>20</v>
      </c>
      <c r="J188" s="4" t="s">
        <v>31</v>
      </c>
    </row>
    <row r="189" ht="15.75" customHeight="1">
      <c r="A189" s="3">
        <v>46017</v>
      </c>
      <c r="B189" s="4" t="s">
        <v>24</v>
      </c>
      <c r="C189" s="4" t="s">
        <v>25</v>
      </c>
      <c r="D189" s="4" t="s">
        <v>38</v>
      </c>
      <c r="E189" s="5">
        <v>0.91736111111111107</v>
      </c>
      <c r="F189" s="4"/>
      <c r="G189" s="4" t="s">
        <v>26</v>
      </c>
      <c r="H189" s="4" t="s">
        <v>19</v>
      </c>
      <c r="I189" s="4" t="s">
        <v>20</v>
      </c>
      <c r="J189" s="4" t="s">
        <v>27</v>
      </c>
    </row>
    <row r="190" hidden="1" ht="15.75" customHeight="1">
      <c r="A190" s="3">
        <v>46018</v>
      </c>
      <c r="B190" s="4" t="s">
        <v>22</v>
      </c>
      <c r="C190" s="4" t="s">
        <v>23</v>
      </c>
      <c r="D190" s="4" t="s">
        <v>17</v>
      </c>
      <c r="E190" s="5">
        <v>0.38611111111111113</v>
      </c>
      <c r="F190" s="6">
        <v>9.7799999999999994</v>
      </c>
      <c r="G190" s="4" t="s">
        <v>18</v>
      </c>
      <c r="H190" s="4" t="s">
        <v>19</v>
      </c>
      <c r="I190" s="4" t="s">
        <v>20</v>
      </c>
      <c r="J190" s="4" t="s">
        <v>21</v>
      </c>
      <c r="N190" s="3">
        <v>46018</v>
      </c>
      <c r="O190" s="4" t="s">
        <v>22</v>
      </c>
      <c r="P190" s="5">
        <v>0.38611111111111113</v>
      </c>
      <c r="Q190" s="7">
        <f t="shared" ref="Q190:Q193" si="15">P190 + (R190 / 24)</f>
        <v>0.79361111111111104</v>
      </c>
      <c r="R190" s="6">
        <v>9.7799999999999994</v>
      </c>
      <c r="S190" s="3">
        <v>46019</v>
      </c>
    </row>
    <row r="191" hidden="1" ht="15.75" customHeight="1">
      <c r="A191" s="3">
        <v>46018</v>
      </c>
      <c r="B191" s="4" t="s">
        <v>28</v>
      </c>
      <c r="C191" s="4" t="s">
        <v>29</v>
      </c>
      <c r="D191" s="4" t="s">
        <v>17</v>
      </c>
      <c r="E191" s="5">
        <v>0.41180555555555554</v>
      </c>
      <c r="F191" s="6">
        <v>12.109999999999999</v>
      </c>
      <c r="G191" s="4" t="s">
        <v>30</v>
      </c>
      <c r="H191" s="4" t="s">
        <v>19</v>
      </c>
      <c r="I191" s="4" t="s">
        <v>20</v>
      </c>
      <c r="J191" s="4" t="s">
        <v>31</v>
      </c>
      <c r="N191" s="3">
        <v>46018</v>
      </c>
      <c r="O191" s="4" t="s">
        <v>28</v>
      </c>
      <c r="P191" s="5">
        <v>0.41180555555555554</v>
      </c>
      <c r="Q191" s="7">
        <f t="shared" si="15"/>
        <v>0.91638888888888881</v>
      </c>
      <c r="R191" s="6">
        <v>12.109999999999999</v>
      </c>
      <c r="S191" s="3">
        <v>46019</v>
      </c>
    </row>
    <row r="192" hidden="1" ht="15.75" customHeight="1">
      <c r="A192" s="3">
        <v>46018</v>
      </c>
      <c r="B192" s="4" t="s">
        <v>24</v>
      </c>
      <c r="C192" s="4" t="s">
        <v>25</v>
      </c>
      <c r="D192" s="4" t="s">
        <v>17</v>
      </c>
      <c r="E192" s="5">
        <v>0.41249999999999998</v>
      </c>
      <c r="F192" s="6">
        <v>12.130000000000001</v>
      </c>
      <c r="G192" s="4" t="s">
        <v>26</v>
      </c>
      <c r="H192" s="4" t="s">
        <v>19</v>
      </c>
      <c r="I192" s="4" t="s">
        <v>20</v>
      </c>
      <c r="J192" s="4" t="s">
        <v>27</v>
      </c>
      <c r="N192" s="3">
        <v>46018</v>
      </c>
      <c r="O192" s="4" t="s">
        <v>24</v>
      </c>
      <c r="P192" s="5">
        <v>0.41249999999999998</v>
      </c>
      <c r="Q192" s="7">
        <f t="shared" si="15"/>
        <v>0.91791666666666671</v>
      </c>
      <c r="R192" s="6">
        <v>12.130000000000001</v>
      </c>
      <c r="S192" s="3">
        <v>46020</v>
      </c>
    </row>
    <row r="193" hidden="1" ht="15.75" customHeight="1">
      <c r="A193" s="3">
        <v>46018</v>
      </c>
      <c r="B193" s="4" t="s">
        <v>32</v>
      </c>
      <c r="C193" s="4" t="s">
        <v>33</v>
      </c>
      <c r="D193" s="4" t="s">
        <v>17</v>
      </c>
      <c r="E193" s="5">
        <v>0.41597222222222224</v>
      </c>
      <c r="F193" s="6">
        <v>9.0500000000000007</v>
      </c>
      <c r="G193" s="4" t="s">
        <v>18</v>
      </c>
      <c r="H193" s="4" t="s">
        <v>19</v>
      </c>
      <c r="I193" s="4" t="s">
        <v>20</v>
      </c>
      <c r="J193" s="4" t="s">
        <v>21</v>
      </c>
      <c r="N193" s="3">
        <v>46018</v>
      </c>
      <c r="O193" s="4" t="s">
        <v>32</v>
      </c>
      <c r="P193" s="5">
        <v>0.41597222222222224</v>
      </c>
      <c r="Q193" s="7">
        <f t="shared" si="15"/>
        <v>0.79305555555555562</v>
      </c>
      <c r="R193" s="6">
        <v>9.0500000000000007</v>
      </c>
      <c r="S193" s="3">
        <v>46020</v>
      </c>
    </row>
    <row r="194" ht="15.75" customHeight="1">
      <c r="A194" s="3">
        <v>46018</v>
      </c>
      <c r="B194" s="4" t="s">
        <v>32</v>
      </c>
      <c r="C194" s="4" t="s">
        <v>33</v>
      </c>
      <c r="D194" s="4" t="s">
        <v>38</v>
      </c>
      <c r="E194" s="5">
        <v>0.79305555555555551</v>
      </c>
      <c r="F194" s="4"/>
      <c r="G194" s="4" t="s">
        <v>18</v>
      </c>
      <c r="H194" s="4" t="s">
        <v>19</v>
      </c>
      <c r="I194" s="4" t="s">
        <v>20</v>
      </c>
      <c r="J194" s="4" t="s">
        <v>21</v>
      </c>
    </row>
    <row r="195" ht="15.75" customHeight="1">
      <c r="A195" s="3">
        <v>46018</v>
      </c>
      <c r="B195" s="4" t="s">
        <v>22</v>
      </c>
      <c r="C195" s="4" t="s">
        <v>23</v>
      </c>
      <c r="D195" s="4" t="s">
        <v>38</v>
      </c>
      <c r="E195" s="5">
        <v>0.79374999999999996</v>
      </c>
      <c r="F195" s="4"/>
      <c r="G195" s="4" t="s">
        <v>18</v>
      </c>
      <c r="H195" s="4" t="s">
        <v>19</v>
      </c>
      <c r="I195" s="4" t="s">
        <v>20</v>
      </c>
      <c r="J195" s="4" t="s">
        <v>21</v>
      </c>
    </row>
    <row r="196" ht="15.75" customHeight="1">
      <c r="A196" s="3">
        <v>46018</v>
      </c>
      <c r="B196" s="4" t="s">
        <v>28</v>
      </c>
      <c r="C196" s="4" t="s">
        <v>29</v>
      </c>
      <c r="D196" s="4" t="s">
        <v>38</v>
      </c>
      <c r="E196" s="5">
        <v>0.91666666666666663</v>
      </c>
      <c r="F196" s="4"/>
      <c r="G196" s="4" t="s">
        <v>30</v>
      </c>
      <c r="H196" s="4" t="s">
        <v>19</v>
      </c>
      <c r="I196" s="4" t="s">
        <v>20</v>
      </c>
      <c r="J196" s="4" t="s">
        <v>31</v>
      </c>
    </row>
    <row r="197" ht="15.75" customHeight="1">
      <c r="A197" s="3">
        <v>46018</v>
      </c>
      <c r="B197" s="4" t="s">
        <v>24</v>
      </c>
      <c r="C197" s="4" t="s">
        <v>25</v>
      </c>
      <c r="D197" s="4" t="s">
        <v>38</v>
      </c>
      <c r="E197" s="5">
        <v>0.91736111111111107</v>
      </c>
      <c r="F197" s="4"/>
      <c r="G197" s="4" t="s">
        <v>26</v>
      </c>
      <c r="H197" s="4" t="s">
        <v>19</v>
      </c>
      <c r="I197" s="4" t="s">
        <v>20</v>
      </c>
      <c r="J197" s="4" t="s">
        <v>27</v>
      </c>
    </row>
    <row r="198" hidden="1" ht="15.75" customHeight="1">
      <c r="A198" s="3">
        <v>46019</v>
      </c>
      <c r="B198" s="4" t="s">
        <v>22</v>
      </c>
      <c r="C198" s="4" t="s">
        <v>23</v>
      </c>
      <c r="D198" s="4" t="s">
        <v>17</v>
      </c>
      <c r="E198" s="5">
        <v>0.37847222222222221</v>
      </c>
      <c r="F198" s="6">
        <v>9.9199999999999999</v>
      </c>
      <c r="G198" s="4" t="s">
        <v>18</v>
      </c>
      <c r="H198" s="4" t="s">
        <v>19</v>
      </c>
      <c r="I198" s="4" t="s">
        <v>20</v>
      </c>
      <c r="J198" s="4" t="s">
        <v>21</v>
      </c>
      <c r="N198" s="3">
        <v>46019</v>
      </c>
      <c r="O198" s="4" t="s">
        <v>22</v>
      </c>
      <c r="P198" s="5">
        <v>0.37847222222222221</v>
      </c>
      <c r="Q198" s="7">
        <f t="shared" ref="Q198:Q201" si="16">P198 + (R198 / 24)</f>
        <v>0.79180555555555554</v>
      </c>
      <c r="R198" s="6">
        <v>9.9199999999999999</v>
      </c>
      <c r="S198" s="3">
        <v>46020</v>
      </c>
    </row>
    <row r="199" hidden="1" ht="15.75" customHeight="1">
      <c r="A199" s="3">
        <v>46019</v>
      </c>
      <c r="B199" s="4" t="s">
        <v>24</v>
      </c>
      <c r="C199" s="4" t="s">
        <v>25</v>
      </c>
      <c r="D199" s="4" t="s">
        <v>17</v>
      </c>
      <c r="E199" s="5">
        <v>0.41249999999999998</v>
      </c>
      <c r="F199" s="6">
        <v>12.19</v>
      </c>
      <c r="G199" s="4" t="s">
        <v>26</v>
      </c>
      <c r="H199" s="4" t="s">
        <v>19</v>
      </c>
      <c r="I199" s="4" t="s">
        <v>20</v>
      </c>
      <c r="J199" s="4" t="s">
        <v>27</v>
      </c>
      <c r="N199" s="3">
        <v>46019</v>
      </c>
      <c r="O199" s="4" t="s">
        <v>24</v>
      </c>
      <c r="P199" s="5">
        <v>0.41249999999999998</v>
      </c>
      <c r="Q199" s="7">
        <f t="shared" si="16"/>
        <v>0.92041666666666666</v>
      </c>
      <c r="R199" s="6">
        <v>12.19</v>
      </c>
      <c r="S199" s="3">
        <v>46020</v>
      </c>
    </row>
    <row r="200" hidden="1" ht="15.75" customHeight="1">
      <c r="A200" s="3">
        <v>46019</v>
      </c>
      <c r="B200" s="4" t="s">
        <v>28</v>
      </c>
      <c r="C200" s="4" t="s">
        <v>29</v>
      </c>
      <c r="D200" s="4" t="s">
        <v>17</v>
      </c>
      <c r="E200" s="5">
        <v>0.41458333333333336</v>
      </c>
      <c r="F200" s="6">
        <v>12.09</v>
      </c>
      <c r="G200" s="4" t="s">
        <v>30</v>
      </c>
      <c r="H200" s="4" t="s">
        <v>19</v>
      </c>
      <c r="I200" s="4" t="s">
        <v>20</v>
      </c>
      <c r="J200" s="4" t="s">
        <v>31</v>
      </c>
      <c r="N200" s="3">
        <v>46019</v>
      </c>
      <c r="O200" s="4" t="s">
        <v>28</v>
      </c>
      <c r="P200" s="5">
        <v>0.41458333333333336</v>
      </c>
      <c r="Q200" s="7">
        <f t="shared" si="16"/>
        <v>0.91833333333333345</v>
      </c>
      <c r="R200" s="6">
        <v>12.09</v>
      </c>
      <c r="S200" s="3">
        <v>46020</v>
      </c>
    </row>
    <row r="201" hidden="1" ht="15.75" customHeight="1">
      <c r="A201" s="3">
        <v>46019</v>
      </c>
      <c r="B201" s="4" t="s">
        <v>32</v>
      </c>
      <c r="C201" s="4" t="s">
        <v>33</v>
      </c>
      <c r="D201" s="4" t="s">
        <v>17</v>
      </c>
      <c r="E201" s="5">
        <v>0.41666666666666669</v>
      </c>
      <c r="F201" s="6">
        <v>8.9199999999999999</v>
      </c>
      <c r="G201" s="4" t="s">
        <v>18</v>
      </c>
      <c r="H201" s="4" t="s">
        <v>19</v>
      </c>
      <c r="I201" s="4" t="s">
        <v>20</v>
      </c>
      <c r="J201" s="4" t="s">
        <v>21</v>
      </c>
      <c r="N201" s="3">
        <v>46019</v>
      </c>
      <c r="O201" s="4" t="s">
        <v>32</v>
      </c>
      <c r="P201" s="5">
        <v>0.41666666666666669</v>
      </c>
      <c r="Q201" s="7">
        <f t="shared" si="16"/>
        <v>0.78833333333333333</v>
      </c>
      <c r="R201" s="6">
        <v>8.9199999999999999</v>
      </c>
      <c r="S201" s="3">
        <v>46021</v>
      </c>
    </row>
    <row r="202" ht="15.75" customHeight="1">
      <c r="A202" s="3">
        <v>46019</v>
      </c>
      <c r="B202" s="4" t="s">
        <v>32</v>
      </c>
      <c r="C202" s="4" t="s">
        <v>33</v>
      </c>
      <c r="D202" s="4" t="s">
        <v>38</v>
      </c>
      <c r="E202" s="5">
        <v>0.78819444444444442</v>
      </c>
      <c r="F202" s="4"/>
      <c r="G202" s="4" t="s">
        <v>18</v>
      </c>
      <c r="H202" s="4" t="s">
        <v>19</v>
      </c>
      <c r="I202" s="4" t="s">
        <v>20</v>
      </c>
      <c r="J202" s="4" t="s">
        <v>21</v>
      </c>
    </row>
    <row r="203" ht="15.75" customHeight="1">
      <c r="A203" s="3">
        <v>46019</v>
      </c>
      <c r="B203" s="4" t="s">
        <v>22</v>
      </c>
      <c r="C203" s="4" t="s">
        <v>23</v>
      </c>
      <c r="D203" s="4" t="s">
        <v>38</v>
      </c>
      <c r="E203" s="5">
        <v>0.79166666666666663</v>
      </c>
      <c r="F203" s="4"/>
      <c r="G203" s="4" t="s">
        <v>18</v>
      </c>
      <c r="H203" s="4" t="s">
        <v>19</v>
      </c>
      <c r="I203" s="4" t="s">
        <v>20</v>
      </c>
      <c r="J203" s="4" t="s">
        <v>21</v>
      </c>
    </row>
    <row r="204" ht="15.75" customHeight="1">
      <c r="A204" s="3">
        <v>46019</v>
      </c>
      <c r="B204" s="4" t="s">
        <v>28</v>
      </c>
      <c r="C204" s="4" t="s">
        <v>29</v>
      </c>
      <c r="D204" s="4" t="s">
        <v>38</v>
      </c>
      <c r="E204" s="5">
        <v>0.91805555555555551</v>
      </c>
      <c r="F204" s="4"/>
      <c r="G204" s="4" t="s">
        <v>30</v>
      </c>
      <c r="H204" s="4" t="s">
        <v>19</v>
      </c>
      <c r="I204" s="4" t="s">
        <v>20</v>
      </c>
      <c r="J204" s="4" t="s">
        <v>31</v>
      </c>
    </row>
    <row r="205" ht="15.75" customHeight="1">
      <c r="A205" s="3">
        <v>46019</v>
      </c>
      <c r="B205" s="4" t="s">
        <v>24</v>
      </c>
      <c r="C205" s="4" t="s">
        <v>25</v>
      </c>
      <c r="D205" s="4" t="s">
        <v>38</v>
      </c>
      <c r="E205" s="5">
        <v>0.92013888888888884</v>
      </c>
      <c r="F205" s="4"/>
      <c r="G205" s="4" t="s">
        <v>26</v>
      </c>
      <c r="H205" s="4" t="s">
        <v>19</v>
      </c>
      <c r="I205" s="4" t="s">
        <v>20</v>
      </c>
      <c r="J205" s="4" t="s">
        <v>27</v>
      </c>
    </row>
    <row r="206" hidden="1" ht="15.75" customHeight="1">
      <c r="A206" s="3">
        <v>46020</v>
      </c>
      <c r="B206" s="4" t="s">
        <v>22</v>
      </c>
      <c r="C206" s="4" t="s">
        <v>23</v>
      </c>
      <c r="D206" s="4" t="s">
        <v>17</v>
      </c>
      <c r="E206" s="5">
        <v>0.39097222222222222</v>
      </c>
      <c r="F206" s="6">
        <v>9.8100000000000005</v>
      </c>
      <c r="G206" s="4" t="s">
        <v>18</v>
      </c>
      <c r="H206" s="4" t="s">
        <v>19</v>
      </c>
      <c r="I206" s="4" t="s">
        <v>20</v>
      </c>
      <c r="J206" s="4" t="s">
        <v>21</v>
      </c>
      <c r="N206" s="3">
        <v>46020</v>
      </c>
      <c r="O206" s="4" t="s">
        <v>22</v>
      </c>
      <c r="P206" s="5">
        <v>0.39097222222222222</v>
      </c>
      <c r="Q206" s="7">
        <f t="shared" ref="Q206:Q210" si="17">P206 + (R206 / 24)</f>
        <v>0.79972222222222222</v>
      </c>
      <c r="R206" s="6">
        <v>9.8100000000000005</v>
      </c>
      <c r="S206" s="3">
        <v>46021</v>
      </c>
    </row>
    <row r="207" hidden="1" ht="15.75" customHeight="1">
      <c r="A207" s="3">
        <v>46020</v>
      </c>
      <c r="B207" s="4" t="s">
        <v>24</v>
      </c>
      <c r="C207" s="4" t="s">
        <v>25</v>
      </c>
      <c r="D207" s="4" t="s">
        <v>17</v>
      </c>
      <c r="E207" s="5">
        <v>0.41180555555555554</v>
      </c>
      <c r="F207" s="6">
        <v>12.15</v>
      </c>
      <c r="G207" s="4" t="s">
        <v>26</v>
      </c>
      <c r="H207" s="4" t="s">
        <v>19</v>
      </c>
      <c r="I207" s="4" t="s">
        <v>20</v>
      </c>
      <c r="J207" s="4" t="s">
        <v>27</v>
      </c>
      <c r="N207" s="3">
        <v>46020</v>
      </c>
      <c r="O207" s="4" t="s">
        <v>24</v>
      </c>
      <c r="P207" s="5">
        <v>0.41180555555555554</v>
      </c>
      <c r="Q207" s="7">
        <f t="shared" si="17"/>
        <v>0.91805555555555551</v>
      </c>
      <c r="R207" s="6">
        <v>12.15</v>
      </c>
      <c r="S207" s="3">
        <v>46022</v>
      </c>
    </row>
    <row r="208" hidden="1" ht="15.75" customHeight="1">
      <c r="A208" s="3">
        <v>46020</v>
      </c>
      <c r="B208" s="4" t="s">
        <v>28</v>
      </c>
      <c r="C208" s="4" t="s">
        <v>29</v>
      </c>
      <c r="D208" s="4" t="s">
        <v>17</v>
      </c>
      <c r="E208" s="5">
        <v>0.41249999999999998</v>
      </c>
      <c r="F208" s="6">
        <v>12.17</v>
      </c>
      <c r="G208" s="4" t="s">
        <v>30</v>
      </c>
      <c r="H208" s="4" t="s">
        <v>19</v>
      </c>
      <c r="I208" s="4" t="s">
        <v>20</v>
      </c>
      <c r="J208" s="4" t="s">
        <v>31</v>
      </c>
      <c r="N208" s="3">
        <v>46020</v>
      </c>
      <c r="O208" s="4" t="s">
        <v>28</v>
      </c>
      <c r="P208" s="5">
        <v>0.41249999999999998</v>
      </c>
      <c r="Q208" s="7">
        <f t="shared" si="17"/>
        <v>0.91958333333333331</v>
      </c>
      <c r="R208" s="6">
        <v>12.17</v>
      </c>
      <c r="S208" s="3">
        <v>46022</v>
      </c>
    </row>
    <row r="209" hidden="1" ht="15.75" customHeight="1">
      <c r="A209" s="3">
        <v>46020</v>
      </c>
      <c r="B209" s="4" t="s">
        <v>32</v>
      </c>
      <c r="C209" s="4" t="s">
        <v>33</v>
      </c>
      <c r="D209" s="4" t="s">
        <v>17</v>
      </c>
      <c r="E209" s="5">
        <v>0.41944444444444445</v>
      </c>
      <c r="F209" s="6">
        <v>9.1099999999999994</v>
      </c>
      <c r="G209" s="4" t="s">
        <v>18</v>
      </c>
      <c r="H209" s="4" t="s">
        <v>19</v>
      </c>
      <c r="I209" s="4" t="s">
        <v>20</v>
      </c>
      <c r="J209" s="4" t="s">
        <v>21</v>
      </c>
      <c r="N209" s="3">
        <v>46020</v>
      </c>
      <c r="O209" s="4" t="s">
        <v>32</v>
      </c>
      <c r="P209" s="5">
        <v>0.41944444444444445</v>
      </c>
      <c r="Q209" s="7">
        <f t="shared" si="17"/>
        <v>0.79902777777777778</v>
      </c>
      <c r="R209" s="6">
        <v>9.1099999999999994</v>
      </c>
      <c r="S209" s="3">
        <v>46023</v>
      </c>
    </row>
    <row r="210" hidden="1" ht="15.75" customHeight="1">
      <c r="A210" s="3">
        <v>46020</v>
      </c>
      <c r="B210" s="4" t="s">
        <v>36</v>
      </c>
      <c r="C210" s="4" t="s">
        <v>37</v>
      </c>
      <c r="D210" s="4" t="s">
        <v>17</v>
      </c>
      <c r="E210" s="5">
        <v>0.46666666666666667</v>
      </c>
      <c r="F210" s="6">
        <v>8.1500000000000004</v>
      </c>
      <c r="G210" s="4" t="s">
        <v>18</v>
      </c>
      <c r="H210" s="4" t="s">
        <v>19</v>
      </c>
      <c r="I210" s="4" t="s">
        <v>20</v>
      </c>
      <c r="J210" s="4" t="s">
        <v>21</v>
      </c>
      <c r="N210" s="3">
        <v>46020</v>
      </c>
      <c r="O210" s="4" t="s">
        <v>36</v>
      </c>
      <c r="P210" s="5">
        <v>0.46666666666666667</v>
      </c>
      <c r="Q210" s="7">
        <f t="shared" si="17"/>
        <v>0.80625000000000002</v>
      </c>
      <c r="R210" s="6">
        <v>8.1500000000000004</v>
      </c>
      <c r="S210" s="3">
        <v>46024</v>
      </c>
    </row>
    <row r="211" ht="15.75" customHeight="1">
      <c r="A211" s="3">
        <v>46020</v>
      </c>
      <c r="B211" s="4" t="s">
        <v>32</v>
      </c>
      <c r="C211" s="4" t="s">
        <v>33</v>
      </c>
      <c r="D211" s="4" t="s">
        <v>38</v>
      </c>
      <c r="E211" s="5">
        <v>0.7993055555555556</v>
      </c>
      <c r="F211" s="4"/>
      <c r="G211" s="4" t="s">
        <v>18</v>
      </c>
      <c r="H211" s="4" t="s">
        <v>19</v>
      </c>
      <c r="I211" s="4" t="s">
        <v>20</v>
      </c>
      <c r="J211" s="4" t="s">
        <v>21</v>
      </c>
    </row>
    <row r="212" ht="15.75" customHeight="1">
      <c r="A212" s="3">
        <v>46020</v>
      </c>
      <c r="B212" s="4" t="s">
        <v>22</v>
      </c>
      <c r="C212" s="4" t="s">
        <v>23</v>
      </c>
      <c r="D212" s="4" t="s">
        <v>38</v>
      </c>
      <c r="E212" s="5">
        <v>0.80000000000000004</v>
      </c>
      <c r="F212" s="4"/>
      <c r="G212" s="4" t="s">
        <v>18</v>
      </c>
      <c r="H212" s="4" t="s">
        <v>19</v>
      </c>
      <c r="I212" s="4" t="s">
        <v>20</v>
      </c>
      <c r="J212" s="4" t="s">
        <v>21</v>
      </c>
    </row>
    <row r="213" ht="15.75" customHeight="1">
      <c r="A213" s="3">
        <v>46020</v>
      </c>
      <c r="B213" s="4" t="s">
        <v>36</v>
      </c>
      <c r="C213" s="4" t="s">
        <v>37</v>
      </c>
      <c r="D213" s="4" t="s">
        <v>38</v>
      </c>
      <c r="E213" s="5">
        <v>0.80625000000000002</v>
      </c>
      <c r="F213" s="4"/>
      <c r="G213" s="4" t="s">
        <v>18</v>
      </c>
      <c r="H213" s="4" t="s">
        <v>19</v>
      </c>
      <c r="I213" s="4" t="s">
        <v>20</v>
      </c>
      <c r="J213" s="4" t="s">
        <v>21</v>
      </c>
    </row>
    <row r="214" ht="15.75" customHeight="1">
      <c r="A214" s="3">
        <v>46020</v>
      </c>
      <c r="B214" s="4" t="s">
        <v>24</v>
      </c>
      <c r="C214" s="4" t="s">
        <v>25</v>
      </c>
      <c r="D214" s="4" t="s">
        <v>38</v>
      </c>
      <c r="E214" s="5">
        <v>0.91805555555555551</v>
      </c>
      <c r="F214" s="4"/>
      <c r="G214" s="4" t="s">
        <v>26</v>
      </c>
      <c r="H214" s="4" t="s">
        <v>19</v>
      </c>
      <c r="I214" s="4" t="s">
        <v>20</v>
      </c>
      <c r="J214" s="4" t="s">
        <v>27</v>
      </c>
    </row>
    <row r="215" ht="15.75" customHeight="1">
      <c r="A215" s="3">
        <v>46020</v>
      </c>
      <c r="B215" s="4" t="s">
        <v>28</v>
      </c>
      <c r="C215" s="4" t="s">
        <v>29</v>
      </c>
      <c r="D215" s="4" t="s">
        <v>38</v>
      </c>
      <c r="E215" s="5">
        <v>0.9194444444444444</v>
      </c>
      <c r="F215" s="4"/>
      <c r="G215" s="4" t="s">
        <v>30</v>
      </c>
      <c r="H215" s="4" t="s">
        <v>19</v>
      </c>
      <c r="I215" s="4" t="s">
        <v>20</v>
      </c>
      <c r="J215" s="4" t="s">
        <v>31</v>
      </c>
    </row>
    <row r="216" hidden="1" ht="15.75" customHeight="1">
      <c r="A216" s="3">
        <v>46021</v>
      </c>
      <c r="B216" s="4" t="s">
        <v>28</v>
      </c>
      <c r="C216" s="4" t="s">
        <v>29</v>
      </c>
      <c r="D216" s="4" t="s">
        <v>17</v>
      </c>
      <c r="E216" s="5">
        <v>0.40972222222222221</v>
      </c>
      <c r="F216" s="6">
        <v>12.17</v>
      </c>
      <c r="G216" s="4" t="s">
        <v>30</v>
      </c>
      <c r="H216" s="4" t="s">
        <v>19</v>
      </c>
      <c r="I216" s="4" t="s">
        <v>20</v>
      </c>
      <c r="J216" s="4" t="s">
        <v>31</v>
      </c>
      <c r="N216" s="3">
        <v>46021</v>
      </c>
      <c r="O216" s="4" t="s">
        <v>28</v>
      </c>
      <c r="P216" s="5">
        <v>0.40972222222222221</v>
      </c>
      <c r="Q216" s="7">
        <f t="shared" ref="Q216:Q217" si="18">P216 + (R216 / 24)</f>
        <v>0.91680555555555554</v>
      </c>
      <c r="R216" s="6">
        <v>12.17</v>
      </c>
      <c r="S216" s="3">
        <v>46024</v>
      </c>
    </row>
    <row r="217" hidden="1" ht="15.75" customHeight="1">
      <c r="A217" s="3">
        <v>46021</v>
      </c>
      <c r="B217" s="4" t="s">
        <v>24</v>
      </c>
      <c r="C217" s="4" t="s">
        <v>25</v>
      </c>
      <c r="D217" s="4" t="s">
        <v>17</v>
      </c>
      <c r="E217" s="5">
        <v>0.41319444444444442</v>
      </c>
      <c r="F217" s="6">
        <v>12.09</v>
      </c>
      <c r="G217" s="4" t="s">
        <v>26</v>
      </c>
      <c r="H217" s="4" t="s">
        <v>19</v>
      </c>
      <c r="I217" s="4" t="s">
        <v>20</v>
      </c>
      <c r="J217" s="4" t="s">
        <v>27</v>
      </c>
      <c r="N217" s="3">
        <v>46021</v>
      </c>
      <c r="O217" s="4" t="s">
        <v>24</v>
      </c>
      <c r="P217" s="5">
        <v>0.41319444444444442</v>
      </c>
      <c r="Q217" s="7">
        <f t="shared" si="18"/>
        <v>0.91694444444444445</v>
      </c>
      <c r="R217" s="6">
        <v>12.09</v>
      </c>
      <c r="S217" s="3">
        <v>46024</v>
      </c>
    </row>
    <row r="218" ht="15.75" customHeight="1">
      <c r="A218" s="3">
        <v>46021</v>
      </c>
      <c r="B218" s="4" t="s">
        <v>24</v>
      </c>
      <c r="C218" s="4" t="s">
        <v>25</v>
      </c>
      <c r="D218" s="4" t="s">
        <v>38</v>
      </c>
      <c r="E218" s="5">
        <v>0.91666666666666663</v>
      </c>
      <c r="F218" s="4"/>
      <c r="G218" s="4" t="s">
        <v>26</v>
      </c>
      <c r="H218" s="4" t="s">
        <v>19</v>
      </c>
      <c r="I218" s="4" t="s">
        <v>20</v>
      </c>
      <c r="J218" s="4" t="s">
        <v>27</v>
      </c>
    </row>
    <row r="219" ht="15.75" customHeight="1">
      <c r="A219" s="3">
        <v>46021</v>
      </c>
      <c r="B219" s="4" t="s">
        <v>28</v>
      </c>
      <c r="C219" s="4" t="s">
        <v>29</v>
      </c>
      <c r="D219" s="4" t="s">
        <v>38</v>
      </c>
      <c r="E219" s="5">
        <v>0.91736111111111107</v>
      </c>
      <c r="F219" s="4"/>
      <c r="G219" s="4" t="s">
        <v>30</v>
      </c>
      <c r="H219" s="4" t="s">
        <v>19</v>
      </c>
      <c r="I219" s="4" t="s">
        <v>20</v>
      </c>
      <c r="J219" s="4" t="s">
        <v>31</v>
      </c>
    </row>
    <row r="220" hidden="1" ht="15.75" customHeight="1">
      <c r="A220" s="3">
        <v>46022</v>
      </c>
      <c r="B220" s="4" t="s">
        <v>22</v>
      </c>
      <c r="C220" s="4" t="s">
        <v>23</v>
      </c>
      <c r="D220" s="4" t="s">
        <v>17</v>
      </c>
      <c r="E220" s="5">
        <v>0.35416666666666669</v>
      </c>
      <c r="F220" s="6">
        <v>10.52</v>
      </c>
      <c r="G220" s="4" t="s">
        <v>26</v>
      </c>
      <c r="H220" s="4" t="s">
        <v>19</v>
      </c>
      <c r="I220" s="4" t="s">
        <v>20</v>
      </c>
      <c r="J220" s="4" t="s">
        <v>27</v>
      </c>
      <c r="N220" s="3">
        <v>46022</v>
      </c>
      <c r="O220" s="4" t="s">
        <v>22</v>
      </c>
      <c r="P220" s="5">
        <v>0.35416666666666669</v>
      </c>
      <c r="Q220" s="7">
        <f t="shared" ref="Q220:Q221" si="19">P220 + (R220 / 24)</f>
        <v>0.79249999999999998</v>
      </c>
      <c r="R220" s="6">
        <v>10.52</v>
      </c>
      <c r="S220" s="3">
        <v>46024</v>
      </c>
    </row>
    <row r="221" hidden="1" ht="15.75" customHeight="1">
      <c r="A221" s="3">
        <v>46022</v>
      </c>
      <c r="B221" s="4" t="s">
        <v>24</v>
      </c>
      <c r="C221" s="4" t="s">
        <v>25</v>
      </c>
      <c r="D221" s="4" t="s">
        <v>17</v>
      </c>
      <c r="E221" s="5">
        <v>0.36666666666666664</v>
      </c>
      <c r="F221" s="6">
        <v>10.19</v>
      </c>
      <c r="G221" s="4" t="s">
        <v>30</v>
      </c>
      <c r="H221" s="4" t="s">
        <v>19</v>
      </c>
      <c r="I221" s="4" t="s">
        <v>20</v>
      </c>
      <c r="J221" s="4" t="s">
        <v>31</v>
      </c>
      <c r="N221" s="3">
        <v>46022</v>
      </c>
      <c r="O221" s="4" t="s">
        <v>24</v>
      </c>
      <c r="P221" s="5">
        <v>0.36666666666666664</v>
      </c>
      <c r="Q221" s="7">
        <f t="shared" si="19"/>
        <v>0.79125000000000001</v>
      </c>
      <c r="R221" s="6">
        <v>10.19</v>
      </c>
      <c r="S221" s="3">
        <v>46024</v>
      </c>
    </row>
    <row r="222" ht="15.75" customHeight="1">
      <c r="A222" s="3">
        <v>46022</v>
      </c>
      <c r="B222" s="4" t="s">
        <v>24</v>
      </c>
      <c r="C222" s="4" t="s">
        <v>25</v>
      </c>
      <c r="D222" s="4" t="s">
        <v>38</v>
      </c>
      <c r="E222" s="5">
        <v>0.79166666666666663</v>
      </c>
      <c r="F222" s="4"/>
      <c r="G222" s="4" t="s">
        <v>30</v>
      </c>
      <c r="H222" s="4" t="s">
        <v>19</v>
      </c>
      <c r="I222" s="4" t="s">
        <v>20</v>
      </c>
      <c r="J222" s="4" t="s">
        <v>31</v>
      </c>
    </row>
    <row r="223" ht="15.75" customHeight="1">
      <c r="A223" s="3">
        <v>46022</v>
      </c>
      <c r="B223" s="4" t="s">
        <v>24</v>
      </c>
      <c r="C223" s="4" t="s">
        <v>25</v>
      </c>
      <c r="D223" s="4" t="s">
        <v>38</v>
      </c>
      <c r="E223" s="5">
        <v>0.79166666666666663</v>
      </c>
      <c r="F223" s="4"/>
      <c r="G223" s="4" t="s">
        <v>30</v>
      </c>
      <c r="H223" s="4" t="s">
        <v>19</v>
      </c>
      <c r="I223" s="4" t="s">
        <v>20</v>
      </c>
      <c r="J223" s="4" t="s">
        <v>31</v>
      </c>
    </row>
    <row r="224" ht="15.75" customHeight="1">
      <c r="A224" s="3">
        <v>46022</v>
      </c>
      <c r="B224" s="4" t="s">
        <v>22</v>
      </c>
      <c r="C224" s="4" t="s">
        <v>23</v>
      </c>
      <c r="D224" s="4" t="s">
        <v>38</v>
      </c>
      <c r="E224" s="5">
        <v>0.79236111111111107</v>
      </c>
      <c r="F224" s="4"/>
      <c r="G224" s="4" t="s">
        <v>26</v>
      </c>
      <c r="H224" s="4" t="s">
        <v>19</v>
      </c>
      <c r="I224" s="4" t="s">
        <v>20</v>
      </c>
      <c r="J224" s="4" t="s">
        <v>27</v>
      </c>
    </row>
    <row r="225" hidden="1" ht="15.75" customHeight="1">
      <c r="A225" s="3">
        <v>46023</v>
      </c>
      <c r="B225" s="4" t="s">
        <v>28</v>
      </c>
      <c r="C225" s="4" t="s">
        <v>29</v>
      </c>
      <c r="D225" s="4" t="s">
        <v>17</v>
      </c>
      <c r="E225" s="5">
        <v>0.49722222222222223</v>
      </c>
      <c r="F225" s="6">
        <v>10.01</v>
      </c>
      <c r="G225" s="4" t="s">
        <v>30</v>
      </c>
      <c r="H225" s="4" t="s">
        <v>19</v>
      </c>
      <c r="I225" s="4" t="s">
        <v>20</v>
      </c>
      <c r="J225" s="4" t="s">
        <v>31</v>
      </c>
      <c r="N225" s="3">
        <v>46023</v>
      </c>
      <c r="O225" s="4" t="s">
        <v>28</v>
      </c>
      <c r="P225" s="5">
        <v>0.49722222222222223</v>
      </c>
      <c r="Q225" s="7">
        <f>P225 + (R225 / 24)</f>
        <v>0.91430555555555548</v>
      </c>
      <c r="R225" s="6">
        <v>10.01</v>
      </c>
      <c r="S225" s="3">
        <v>46024</v>
      </c>
    </row>
    <row r="226" ht="15.75" customHeight="1">
      <c r="A226" s="3">
        <v>46023</v>
      </c>
      <c r="B226" s="4" t="s">
        <v>28</v>
      </c>
      <c r="C226" s="4" t="s">
        <v>29</v>
      </c>
      <c r="D226" s="4" t="s">
        <v>38</v>
      </c>
      <c r="E226" s="5">
        <v>0.91388888888888886</v>
      </c>
      <c r="F226" s="4"/>
      <c r="G226" s="4" t="s">
        <v>30</v>
      </c>
      <c r="H226" s="4" t="s">
        <v>19</v>
      </c>
      <c r="I226" s="4" t="s">
        <v>20</v>
      </c>
      <c r="J226" s="4" t="s">
        <v>31</v>
      </c>
    </row>
    <row r="227" hidden="1" ht="15.75" customHeight="1">
      <c r="A227" s="3">
        <v>46024</v>
      </c>
      <c r="B227" s="4" t="s">
        <v>22</v>
      </c>
      <c r="C227" s="4" t="s">
        <v>23</v>
      </c>
      <c r="D227" s="4" t="s">
        <v>17</v>
      </c>
      <c r="E227" s="5">
        <v>0.375</v>
      </c>
      <c r="F227" s="6">
        <v>10.06</v>
      </c>
      <c r="G227" s="4" t="s">
        <v>18</v>
      </c>
      <c r="H227" s="4" t="s">
        <v>19</v>
      </c>
      <c r="I227" s="4" t="s">
        <v>20</v>
      </c>
      <c r="J227" s="4" t="s">
        <v>21</v>
      </c>
      <c r="N227" s="3">
        <v>46024</v>
      </c>
      <c r="O227" s="4" t="s">
        <v>22</v>
      </c>
      <c r="P227" s="5">
        <v>0.375</v>
      </c>
      <c r="Q227" s="7">
        <f t="shared" ref="Q227:Q233" si="20">P227 + (R227 / 24)</f>
        <v>0.79416666666666669</v>
      </c>
      <c r="R227" s="6">
        <v>10.06</v>
      </c>
      <c r="S227" s="3">
        <v>46024</v>
      </c>
    </row>
    <row r="228" hidden="1" ht="15.75" customHeight="1">
      <c r="A228" s="3">
        <v>46024</v>
      </c>
      <c r="B228" s="4" t="s">
        <v>32</v>
      </c>
      <c r="C228" s="4" t="s">
        <v>33</v>
      </c>
      <c r="D228" s="4" t="s">
        <v>17</v>
      </c>
      <c r="E228" s="5">
        <v>0.40486111111111112</v>
      </c>
      <c r="F228" s="6">
        <v>9.3499999999999996</v>
      </c>
      <c r="G228" s="4" t="s">
        <v>18</v>
      </c>
      <c r="H228" s="4" t="s">
        <v>19</v>
      </c>
      <c r="I228" s="4" t="s">
        <v>20</v>
      </c>
      <c r="J228" s="4" t="s">
        <v>21</v>
      </c>
      <c r="N228" s="3">
        <v>46024</v>
      </c>
      <c r="O228" s="4" t="s">
        <v>32</v>
      </c>
      <c r="P228" s="5">
        <v>0.40486111111111112</v>
      </c>
      <c r="Q228" s="7">
        <f t="shared" si="20"/>
        <v>0.79444444444444451</v>
      </c>
      <c r="R228" s="6">
        <v>9.3499999999999996</v>
      </c>
      <c r="S228" s="3">
        <v>46025</v>
      </c>
    </row>
    <row r="229" hidden="1" ht="15.75" customHeight="1">
      <c r="A229" s="3">
        <v>46024</v>
      </c>
      <c r="B229" s="4" t="s">
        <v>24</v>
      </c>
      <c r="C229" s="4" t="s">
        <v>25</v>
      </c>
      <c r="D229" s="4" t="s">
        <v>17</v>
      </c>
      <c r="E229" s="5">
        <v>0.41388888888888886</v>
      </c>
      <c r="F229" s="6">
        <v>11.130000000000001</v>
      </c>
      <c r="G229" s="4" t="s">
        <v>26</v>
      </c>
      <c r="H229" s="4" t="s">
        <v>19</v>
      </c>
      <c r="I229" s="4" t="s">
        <v>20</v>
      </c>
      <c r="J229" s="4" t="s">
        <v>27</v>
      </c>
      <c r="N229" s="3">
        <v>46024</v>
      </c>
      <c r="O229" s="4" t="s">
        <v>24</v>
      </c>
      <c r="P229" s="5">
        <v>0.41388888888888886</v>
      </c>
      <c r="Q229" s="7">
        <f t="shared" si="20"/>
        <v>0.87763888888888886</v>
      </c>
      <c r="R229" s="6">
        <v>11.130000000000001</v>
      </c>
      <c r="S229" s="3">
        <v>46025</v>
      </c>
    </row>
    <row r="230" hidden="1" ht="15.75" customHeight="1">
      <c r="A230" s="3">
        <v>46024</v>
      </c>
      <c r="B230" s="4" t="s">
        <v>28</v>
      </c>
      <c r="C230" s="4" t="s">
        <v>29</v>
      </c>
      <c r="D230" s="4" t="s">
        <v>17</v>
      </c>
      <c r="E230" s="5">
        <v>0.41458333333333336</v>
      </c>
      <c r="F230" s="6">
        <v>12.109999999999999</v>
      </c>
      <c r="G230" s="4" t="s">
        <v>30</v>
      </c>
      <c r="H230" s="4" t="s">
        <v>19</v>
      </c>
      <c r="I230" s="4" t="s">
        <v>20</v>
      </c>
      <c r="J230" s="4" t="s">
        <v>31</v>
      </c>
      <c r="N230" s="3">
        <v>46024</v>
      </c>
      <c r="O230" s="4" t="s">
        <v>28</v>
      </c>
      <c r="P230" s="5">
        <v>0.41458333333333336</v>
      </c>
      <c r="Q230" s="7">
        <f t="shared" si="20"/>
        <v>0.91916666666666669</v>
      </c>
      <c r="R230" s="6">
        <v>12.109999999999999</v>
      </c>
      <c r="S230" s="3">
        <v>46025</v>
      </c>
    </row>
    <row r="231" hidden="1" ht="15.75" customHeight="1">
      <c r="A231" s="3">
        <v>46024</v>
      </c>
      <c r="B231" s="4" t="s">
        <v>15</v>
      </c>
      <c r="C231" s="4" t="s">
        <v>16</v>
      </c>
      <c r="D231" s="4" t="s">
        <v>17</v>
      </c>
      <c r="E231" s="5">
        <v>0.4152777777777778</v>
      </c>
      <c r="F231" s="6">
        <v>9.1199999999999992</v>
      </c>
      <c r="G231" s="4" t="s">
        <v>18</v>
      </c>
      <c r="H231" s="4" t="s">
        <v>19</v>
      </c>
      <c r="I231" s="4" t="s">
        <v>20</v>
      </c>
      <c r="J231" s="4" t="s">
        <v>21</v>
      </c>
      <c r="N231" s="3">
        <v>46024</v>
      </c>
      <c r="O231" s="4" t="s">
        <v>15</v>
      </c>
      <c r="P231" s="5">
        <v>0.4152777777777778</v>
      </c>
      <c r="Q231" s="7">
        <f t="shared" si="20"/>
        <v>0.79527777777777775</v>
      </c>
      <c r="R231" s="6">
        <v>9.1199999999999992</v>
      </c>
      <c r="S231" s="3">
        <v>46025</v>
      </c>
    </row>
    <row r="232" hidden="1" ht="15.75" customHeight="1">
      <c r="A232" s="3">
        <v>46024</v>
      </c>
      <c r="B232" s="4" t="s">
        <v>39</v>
      </c>
      <c r="C232" s="4" t="s">
        <v>40</v>
      </c>
      <c r="D232" s="4" t="s">
        <v>17</v>
      </c>
      <c r="E232" s="5">
        <v>0.41597222222222224</v>
      </c>
      <c r="F232" s="6">
        <v>9.0700000000000003</v>
      </c>
      <c r="G232" s="4" t="s">
        <v>18</v>
      </c>
      <c r="H232" s="4" t="s">
        <v>19</v>
      </c>
      <c r="I232" s="4" t="s">
        <v>20</v>
      </c>
      <c r="J232" s="4" t="s">
        <v>21</v>
      </c>
      <c r="N232" s="3">
        <v>46024</v>
      </c>
      <c r="O232" s="4" t="s">
        <v>39</v>
      </c>
      <c r="P232" s="5">
        <v>0.41597222222222224</v>
      </c>
      <c r="Q232" s="7">
        <f t="shared" si="20"/>
        <v>0.79388888888888887</v>
      </c>
      <c r="R232" s="6">
        <v>9.0700000000000003</v>
      </c>
      <c r="S232" s="3">
        <v>46025</v>
      </c>
    </row>
    <row r="233" hidden="1" ht="15.75" customHeight="1">
      <c r="A233" s="3">
        <v>46024</v>
      </c>
      <c r="B233" s="4" t="s">
        <v>36</v>
      </c>
      <c r="C233" s="4" t="s">
        <v>37</v>
      </c>
      <c r="D233" s="4" t="s">
        <v>17</v>
      </c>
      <c r="E233" s="5">
        <v>0.43194444444444446</v>
      </c>
      <c r="F233" s="6">
        <v>5.1900000000000004</v>
      </c>
      <c r="G233" s="4" t="s">
        <v>18</v>
      </c>
      <c r="H233" s="4" t="s">
        <v>19</v>
      </c>
      <c r="I233" s="4" t="s">
        <v>20</v>
      </c>
      <c r="J233" s="4" t="s">
        <v>21</v>
      </c>
      <c r="N233" s="3">
        <v>46024</v>
      </c>
      <c r="O233" s="4" t="s">
        <v>36</v>
      </c>
      <c r="P233" s="5">
        <v>0.43194444444444446</v>
      </c>
      <c r="Q233" s="7">
        <f t="shared" si="20"/>
        <v>0.64819444444444452</v>
      </c>
      <c r="R233" s="6">
        <v>5.1900000000000004</v>
      </c>
      <c r="S233" s="3">
        <v>46025</v>
      </c>
    </row>
    <row r="234" ht="15.75" customHeight="1">
      <c r="A234" s="3">
        <v>46024</v>
      </c>
      <c r="B234" s="4" t="s">
        <v>36</v>
      </c>
      <c r="C234" s="4" t="s">
        <v>37</v>
      </c>
      <c r="D234" s="4" t="s">
        <v>38</v>
      </c>
      <c r="E234" s="5">
        <v>0.64861111111111114</v>
      </c>
      <c r="F234" s="4"/>
      <c r="G234" s="4" t="s">
        <v>18</v>
      </c>
      <c r="H234" s="4" t="s">
        <v>19</v>
      </c>
      <c r="I234" s="4" t="s">
        <v>20</v>
      </c>
      <c r="J234" s="4" t="s">
        <v>21</v>
      </c>
    </row>
    <row r="235" ht="15.75" customHeight="1">
      <c r="A235" s="3">
        <v>46024</v>
      </c>
      <c r="B235" s="4" t="s">
        <v>39</v>
      </c>
      <c r="C235" s="4" t="s">
        <v>40</v>
      </c>
      <c r="D235" s="4" t="s">
        <v>38</v>
      </c>
      <c r="E235" s="5">
        <v>0.79374999999999996</v>
      </c>
      <c r="F235" s="4"/>
      <c r="G235" s="4" t="s">
        <v>18</v>
      </c>
      <c r="H235" s="4" t="s">
        <v>19</v>
      </c>
      <c r="I235" s="4" t="s">
        <v>20</v>
      </c>
      <c r="J235" s="4" t="s">
        <v>21</v>
      </c>
    </row>
    <row r="236" ht="15.75" customHeight="1">
      <c r="A236" s="3">
        <v>46024</v>
      </c>
      <c r="B236" s="4" t="s">
        <v>22</v>
      </c>
      <c r="C236" s="4" t="s">
        <v>23</v>
      </c>
      <c r="D236" s="4" t="s">
        <v>38</v>
      </c>
      <c r="E236" s="5">
        <v>0.7944444444444444</v>
      </c>
      <c r="F236" s="4"/>
      <c r="G236" s="4" t="s">
        <v>18</v>
      </c>
      <c r="H236" s="4" t="s">
        <v>19</v>
      </c>
      <c r="I236" s="4" t="s">
        <v>20</v>
      </c>
      <c r="J236" s="4" t="s">
        <v>21</v>
      </c>
    </row>
    <row r="237" ht="15.75" customHeight="1">
      <c r="A237" s="3">
        <v>46024</v>
      </c>
      <c r="B237" s="4" t="s">
        <v>32</v>
      </c>
      <c r="C237" s="4" t="s">
        <v>33</v>
      </c>
      <c r="D237" s="4" t="s">
        <v>38</v>
      </c>
      <c r="E237" s="5">
        <v>0.7944444444444444</v>
      </c>
      <c r="F237" s="4"/>
      <c r="G237" s="4" t="s">
        <v>18</v>
      </c>
      <c r="H237" s="4" t="s">
        <v>19</v>
      </c>
      <c r="I237" s="4" t="s">
        <v>20</v>
      </c>
      <c r="J237" s="4" t="s">
        <v>21</v>
      </c>
    </row>
    <row r="238" ht="15.75" customHeight="1">
      <c r="A238" s="3">
        <v>46024</v>
      </c>
      <c r="B238" s="4" t="s">
        <v>15</v>
      </c>
      <c r="C238" s="4" t="s">
        <v>16</v>
      </c>
      <c r="D238" s="4" t="s">
        <v>38</v>
      </c>
      <c r="E238" s="5">
        <v>0.79513888888888884</v>
      </c>
      <c r="F238" s="4"/>
      <c r="G238" s="4" t="s">
        <v>18</v>
      </c>
      <c r="H238" s="4" t="s">
        <v>19</v>
      </c>
      <c r="I238" s="4" t="s">
        <v>20</v>
      </c>
      <c r="J238" s="4" t="s">
        <v>21</v>
      </c>
    </row>
    <row r="239" ht="15.75" customHeight="1">
      <c r="A239" s="3">
        <v>46024</v>
      </c>
      <c r="B239" s="4" t="s">
        <v>24</v>
      </c>
      <c r="C239" s="4" t="s">
        <v>25</v>
      </c>
      <c r="D239" s="4" t="s">
        <v>38</v>
      </c>
      <c r="E239" s="5">
        <v>0.87777777777777777</v>
      </c>
      <c r="F239" s="4"/>
      <c r="G239" s="4" t="s">
        <v>26</v>
      </c>
      <c r="H239" s="4" t="s">
        <v>19</v>
      </c>
      <c r="I239" s="4" t="s">
        <v>20</v>
      </c>
      <c r="J239" s="4" t="s">
        <v>27</v>
      </c>
    </row>
    <row r="240" ht="15.75" customHeight="1">
      <c r="A240" s="3">
        <v>46024</v>
      </c>
      <c r="B240" s="4" t="s">
        <v>28</v>
      </c>
      <c r="C240" s="4" t="s">
        <v>29</v>
      </c>
      <c r="D240" s="4" t="s">
        <v>38</v>
      </c>
      <c r="E240" s="5">
        <v>0.91874999999999996</v>
      </c>
      <c r="F240" s="4"/>
      <c r="G240" s="4" t="s">
        <v>30</v>
      </c>
      <c r="H240" s="4" t="s">
        <v>19</v>
      </c>
      <c r="I240" s="4" t="s">
        <v>20</v>
      </c>
      <c r="J240" s="4" t="s">
        <v>31</v>
      </c>
    </row>
    <row r="241" hidden="1" ht="15.75" customHeight="1">
      <c r="A241" s="3">
        <v>46025</v>
      </c>
      <c r="B241" s="4" t="s">
        <v>22</v>
      </c>
      <c r="C241" s="4" t="s">
        <v>23</v>
      </c>
      <c r="D241" s="4" t="s">
        <v>17</v>
      </c>
      <c r="E241" s="5">
        <v>0.39027777777777778</v>
      </c>
      <c r="F241" s="6">
        <v>9.6400000000000006</v>
      </c>
      <c r="G241" s="4" t="s">
        <v>18</v>
      </c>
      <c r="H241" s="4" t="s">
        <v>19</v>
      </c>
      <c r="I241" s="4" t="s">
        <v>20</v>
      </c>
      <c r="J241" s="4" t="s">
        <v>21</v>
      </c>
      <c r="N241" s="3">
        <v>46025</v>
      </c>
      <c r="O241" s="4" t="s">
        <v>22</v>
      </c>
      <c r="P241" s="5">
        <v>0.39027777777777778</v>
      </c>
      <c r="Q241" s="7">
        <f t="shared" ref="Q241:Q246" si="21">P241 + (R241 / 24)</f>
        <v>0.79194444444444445</v>
      </c>
      <c r="R241" s="6">
        <v>9.6400000000000006</v>
      </c>
      <c r="S241" s="3">
        <v>46026</v>
      </c>
    </row>
    <row r="242" hidden="1" ht="15.75" customHeight="1">
      <c r="A242" s="3">
        <v>46025</v>
      </c>
      <c r="B242" s="4" t="s">
        <v>15</v>
      </c>
      <c r="C242" s="4" t="s">
        <v>16</v>
      </c>
      <c r="D242" s="4" t="s">
        <v>17</v>
      </c>
      <c r="E242" s="5">
        <v>0.39583333333333331</v>
      </c>
      <c r="F242" s="6">
        <v>9.5199999999999996</v>
      </c>
      <c r="G242" s="4" t="s">
        <v>18</v>
      </c>
      <c r="H242" s="4" t="s">
        <v>19</v>
      </c>
      <c r="I242" s="4" t="s">
        <v>20</v>
      </c>
      <c r="J242" s="4" t="s">
        <v>21</v>
      </c>
      <c r="N242" s="3">
        <v>46025</v>
      </c>
      <c r="O242" s="4" t="s">
        <v>15</v>
      </c>
      <c r="P242" s="5">
        <v>0.39583333333333331</v>
      </c>
      <c r="Q242" s="7">
        <f t="shared" si="21"/>
        <v>0.79249999999999998</v>
      </c>
      <c r="R242" s="6">
        <v>9.5199999999999996</v>
      </c>
      <c r="S242" s="3">
        <v>46026</v>
      </c>
    </row>
    <row r="243" hidden="1" ht="15.75" customHeight="1">
      <c r="A243" s="3">
        <v>46025</v>
      </c>
      <c r="B243" s="4" t="s">
        <v>24</v>
      </c>
      <c r="C243" s="4" t="s">
        <v>25</v>
      </c>
      <c r="D243" s="4" t="s">
        <v>17</v>
      </c>
      <c r="E243" s="5">
        <v>0.40763888888888888</v>
      </c>
      <c r="F243" s="6">
        <v>11.32</v>
      </c>
      <c r="G243" s="4" t="s">
        <v>26</v>
      </c>
      <c r="H243" s="4" t="s">
        <v>19</v>
      </c>
      <c r="I243" s="4" t="s">
        <v>20</v>
      </c>
      <c r="J243" s="4" t="s">
        <v>27</v>
      </c>
      <c r="N243" s="3">
        <v>46025</v>
      </c>
      <c r="O243" s="4" t="s">
        <v>24</v>
      </c>
      <c r="P243" s="5">
        <v>0.40763888888888888</v>
      </c>
      <c r="Q243" s="7">
        <f t="shared" si="21"/>
        <v>0.87930555555555556</v>
      </c>
      <c r="R243" s="6">
        <v>11.32</v>
      </c>
      <c r="S243" s="3">
        <v>46026</v>
      </c>
    </row>
    <row r="244" hidden="1" ht="15.75" customHeight="1">
      <c r="A244" s="3">
        <v>46025</v>
      </c>
      <c r="B244" s="4" t="s">
        <v>28</v>
      </c>
      <c r="C244" s="4" t="s">
        <v>29</v>
      </c>
      <c r="D244" s="4" t="s">
        <v>17</v>
      </c>
      <c r="E244" s="5">
        <v>0.41319444444444442</v>
      </c>
      <c r="F244" s="6">
        <v>12.050000000000001</v>
      </c>
      <c r="G244" s="4" t="s">
        <v>30</v>
      </c>
      <c r="H244" s="4" t="s">
        <v>19</v>
      </c>
      <c r="I244" s="4" t="s">
        <v>20</v>
      </c>
      <c r="J244" s="4" t="s">
        <v>31</v>
      </c>
      <c r="N244" s="3">
        <v>46025</v>
      </c>
      <c r="O244" s="4" t="s">
        <v>28</v>
      </c>
      <c r="P244" s="5">
        <v>0.41319444444444442</v>
      </c>
      <c r="Q244" s="7">
        <f t="shared" si="21"/>
        <v>0.91527777777777775</v>
      </c>
      <c r="R244" s="6">
        <v>12.050000000000001</v>
      </c>
      <c r="S244" s="3">
        <v>46026</v>
      </c>
    </row>
    <row r="245" hidden="1" ht="15.75" customHeight="1">
      <c r="A245" s="3">
        <v>46025</v>
      </c>
      <c r="B245" s="4" t="s">
        <v>32</v>
      </c>
      <c r="C245" s="4" t="s">
        <v>33</v>
      </c>
      <c r="D245" s="4" t="s">
        <v>17</v>
      </c>
      <c r="E245" s="5">
        <v>0.41805555555555557</v>
      </c>
      <c r="F245" s="6">
        <v>8.9800000000000004</v>
      </c>
      <c r="G245" s="4" t="s">
        <v>18</v>
      </c>
      <c r="H245" s="4" t="s">
        <v>19</v>
      </c>
      <c r="I245" s="4" t="s">
        <v>20</v>
      </c>
      <c r="J245" s="4" t="s">
        <v>21</v>
      </c>
      <c r="N245" s="3">
        <v>46025</v>
      </c>
      <c r="O245" s="4" t="s">
        <v>32</v>
      </c>
      <c r="P245" s="5">
        <v>0.41805555555555557</v>
      </c>
      <c r="Q245" s="7">
        <f t="shared" si="21"/>
        <v>0.79222222222222227</v>
      </c>
      <c r="R245" s="6">
        <v>8.9800000000000004</v>
      </c>
      <c r="S245" s="3">
        <v>46026</v>
      </c>
    </row>
    <row r="246" hidden="1" ht="15.75" customHeight="1">
      <c r="A246" s="3">
        <v>46025</v>
      </c>
      <c r="B246" s="4" t="s">
        <v>36</v>
      </c>
      <c r="C246" s="4" t="s">
        <v>37</v>
      </c>
      <c r="D246" s="4" t="s">
        <v>17</v>
      </c>
      <c r="E246" s="5">
        <v>0.44791666666666669</v>
      </c>
      <c r="F246" s="6">
        <v>11.75</v>
      </c>
      <c r="G246" s="4" t="s">
        <v>18</v>
      </c>
      <c r="H246" s="4" t="s">
        <v>19</v>
      </c>
      <c r="I246" s="4" t="s">
        <v>20</v>
      </c>
      <c r="J246" s="4" t="s">
        <v>21</v>
      </c>
      <c r="N246" s="3">
        <v>46025</v>
      </c>
      <c r="O246" s="4" t="s">
        <v>36</v>
      </c>
      <c r="P246" s="5">
        <v>0.44791666666666669</v>
      </c>
      <c r="Q246" s="7">
        <f t="shared" si="21"/>
        <v>0.9375</v>
      </c>
      <c r="R246" s="6">
        <v>11.75</v>
      </c>
      <c r="S246" s="3">
        <v>46027</v>
      </c>
    </row>
    <row r="247" ht="15.75" customHeight="1">
      <c r="A247" s="3">
        <v>46025</v>
      </c>
      <c r="B247" s="4" t="s">
        <v>22</v>
      </c>
      <c r="C247" s="4" t="s">
        <v>23</v>
      </c>
      <c r="D247" s="4" t="s">
        <v>38</v>
      </c>
      <c r="E247" s="5">
        <v>0.79236111111111107</v>
      </c>
      <c r="F247" s="4"/>
      <c r="G247" s="4" t="s">
        <v>18</v>
      </c>
      <c r="H247" s="4" t="s">
        <v>19</v>
      </c>
      <c r="I247" s="4" t="s">
        <v>20</v>
      </c>
      <c r="J247" s="4" t="s">
        <v>21</v>
      </c>
    </row>
    <row r="248" ht="15.75" customHeight="1">
      <c r="A248" s="3">
        <v>46025</v>
      </c>
      <c r="B248" s="4" t="s">
        <v>32</v>
      </c>
      <c r="C248" s="4" t="s">
        <v>33</v>
      </c>
      <c r="D248" s="4" t="s">
        <v>38</v>
      </c>
      <c r="E248" s="5">
        <v>0.79236111111111107</v>
      </c>
      <c r="F248" s="4"/>
      <c r="G248" s="4" t="s">
        <v>18</v>
      </c>
      <c r="H248" s="4" t="s">
        <v>19</v>
      </c>
      <c r="I248" s="4" t="s">
        <v>20</v>
      </c>
      <c r="J248" s="4" t="s">
        <v>21</v>
      </c>
    </row>
    <row r="249" ht="15.75" customHeight="1">
      <c r="A249" s="3">
        <v>46025</v>
      </c>
      <c r="B249" s="4" t="s">
        <v>15</v>
      </c>
      <c r="C249" s="4" t="s">
        <v>16</v>
      </c>
      <c r="D249" s="4" t="s">
        <v>38</v>
      </c>
      <c r="E249" s="5">
        <v>0.79305555555555551</v>
      </c>
      <c r="F249" s="4"/>
      <c r="G249" s="4" t="s">
        <v>18</v>
      </c>
      <c r="H249" s="4" t="s">
        <v>19</v>
      </c>
      <c r="I249" s="4" t="s">
        <v>20</v>
      </c>
      <c r="J249" s="4" t="s">
        <v>21</v>
      </c>
    </row>
    <row r="250" ht="15.75" customHeight="1">
      <c r="A250" s="3">
        <v>46025</v>
      </c>
      <c r="B250" s="4" t="s">
        <v>24</v>
      </c>
      <c r="C250" s="4" t="s">
        <v>25</v>
      </c>
      <c r="D250" s="4" t="s">
        <v>38</v>
      </c>
      <c r="E250" s="5">
        <v>0.87986111111111109</v>
      </c>
      <c r="F250" s="4"/>
      <c r="G250" s="4" t="s">
        <v>26</v>
      </c>
      <c r="H250" s="4" t="s">
        <v>19</v>
      </c>
      <c r="I250" s="4" t="s">
        <v>20</v>
      </c>
      <c r="J250" s="4" t="s">
        <v>27</v>
      </c>
    </row>
    <row r="251" ht="15.75" customHeight="1">
      <c r="A251" s="3">
        <v>46025</v>
      </c>
      <c r="B251" s="4" t="s">
        <v>28</v>
      </c>
      <c r="C251" s="4" t="s">
        <v>29</v>
      </c>
      <c r="D251" s="4" t="s">
        <v>38</v>
      </c>
      <c r="E251" s="5">
        <v>0.91527777777777775</v>
      </c>
      <c r="F251" s="4"/>
      <c r="G251" s="4" t="s">
        <v>30</v>
      </c>
      <c r="H251" s="4" t="s">
        <v>19</v>
      </c>
      <c r="I251" s="4" t="s">
        <v>20</v>
      </c>
      <c r="J251" s="4" t="s">
        <v>31</v>
      </c>
    </row>
    <row r="252" ht="15.75" customHeight="1">
      <c r="A252" s="3">
        <v>46025</v>
      </c>
      <c r="B252" s="4" t="s">
        <v>36</v>
      </c>
      <c r="C252" s="4" t="s">
        <v>37</v>
      </c>
      <c r="D252" s="4" t="s">
        <v>38</v>
      </c>
      <c r="E252" s="5">
        <v>0.9375</v>
      </c>
      <c r="F252" s="4"/>
      <c r="G252" s="4"/>
      <c r="H252" s="4" t="s">
        <v>19</v>
      </c>
      <c r="I252" s="4"/>
      <c r="J252" s="4"/>
    </row>
    <row r="253" hidden="1" ht="15.75" customHeight="1">
      <c r="A253" s="3">
        <v>46026</v>
      </c>
      <c r="B253" s="4" t="s">
        <v>22</v>
      </c>
      <c r="C253" s="4" t="s">
        <v>23</v>
      </c>
      <c r="D253" s="4" t="s">
        <v>17</v>
      </c>
      <c r="E253" s="5">
        <v>0.375</v>
      </c>
      <c r="F253" s="6">
        <v>10.039999999999999</v>
      </c>
      <c r="G253" s="4" t="s">
        <v>18</v>
      </c>
      <c r="H253" s="4" t="s">
        <v>19</v>
      </c>
      <c r="I253" s="4" t="s">
        <v>20</v>
      </c>
      <c r="J253" s="4" t="s">
        <v>21</v>
      </c>
      <c r="N253" s="3">
        <v>46026</v>
      </c>
      <c r="O253" s="4" t="s">
        <v>22</v>
      </c>
      <c r="P253" s="5">
        <v>0.375</v>
      </c>
      <c r="Q253" s="7">
        <f t="shared" ref="Q253:Q257" si="22">P253 + (R253 / 24)</f>
        <v>0.79333333333333322</v>
      </c>
      <c r="R253" s="6">
        <v>10.039999999999999</v>
      </c>
      <c r="S253" s="3">
        <v>46027</v>
      </c>
    </row>
    <row r="254" hidden="1" ht="15.75" customHeight="1">
      <c r="A254" s="3">
        <v>46026</v>
      </c>
      <c r="B254" s="4" t="s">
        <v>15</v>
      </c>
      <c r="C254" s="4" t="s">
        <v>16</v>
      </c>
      <c r="D254" s="4" t="s">
        <v>17</v>
      </c>
      <c r="E254" s="5">
        <v>0.38055555555555554</v>
      </c>
      <c r="F254" s="6">
        <v>9.9100000000000001</v>
      </c>
      <c r="G254" s="4" t="s">
        <v>18</v>
      </c>
      <c r="H254" s="4" t="s">
        <v>19</v>
      </c>
      <c r="I254" s="4" t="s">
        <v>20</v>
      </c>
      <c r="J254" s="4" t="s">
        <v>21</v>
      </c>
      <c r="N254" s="3">
        <v>46026</v>
      </c>
      <c r="O254" s="4" t="s">
        <v>15</v>
      </c>
      <c r="P254" s="5">
        <v>0.38055555555555554</v>
      </c>
      <c r="Q254" s="7">
        <f t="shared" si="22"/>
        <v>0.79347222222222213</v>
      </c>
      <c r="R254" s="6">
        <v>9.9100000000000001</v>
      </c>
      <c r="S254" s="3">
        <v>46027</v>
      </c>
    </row>
    <row r="255" hidden="1" ht="15.75" customHeight="1">
      <c r="A255" s="3">
        <v>46026</v>
      </c>
      <c r="B255" s="4" t="s">
        <v>24</v>
      </c>
      <c r="C255" s="4" t="s">
        <v>25</v>
      </c>
      <c r="D255" s="4" t="s">
        <v>17</v>
      </c>
      <c r="E255" s="5">
        <v>0.40763888888888888</v>
      </c>
      <c r="F255" s="6">
        <v>11.31</v>
      </c>
      <c r="G255" s="4" t="s">
        <v>26</v>
      </c>
      <c r="H255" s="4" t="s">
        <v>19</v>
      </c>
      <c r="I255" s="4" t="s">
        <v>20</v>
      </c>
      <c r="J255" s="4" t="s">
        <v>27</v>
      </c>
      <c r="N255" s="3">
        <v>46026</v>
      </c>
      <c r="O255" s="4" t="s">
        <v>24</v>
      </c>
      <c r="P255" s="5">
        <v>0.40763888888888888</v>
      </c>
      <c r="Q255" s="7">
        <f t="shared" si="22"/>
        <v>0.87888888888888883</v>
      </c>
      <c r="R255" s="6">
        <v>11.31</v>
      </c>
      <c r="S255" s="3">
        <v>46027</v>
      </c>
    </row>
    <row r="256" hidden="1" ht="15.75" customHeight="1">
      <c r="A256" s="3">
        <v>46026</v>
      </c>
      <c r="B256" s="4" t="s">
        <v>28</v>
      </c>
      <c r="C256" s="4" t="s">
        <v>29</v>
      </c>
      <c r="D256" s="4" t="s">
        <v>17</v>
      </c>
      <c r="E256" s="5">
        <v>0.41111111111111109</v>
      </c>
      <c r="F256" s="6">
        <v>12.08</v>
      </c>
      <c r="G256" s="4" t="s">
        <v>30</v>
      </c>
      <c r="H256" s="4" t="s">
        <v>19</v>
      </c>
      <c r="I256" s="4" t="s">
        <v>20</v>
      </c>
      <c r="J256" s="4" t="s">
        <v>31</v>
      </c>
      <c r="N256" s="3">
        <v>46026</v>
      </c>
      <c r="O256" s="4" t="s">
        <v>28</v>
      </c>
      <c r="P256" s="5">
        <v>0.41111111111111109</v>
      </c>
      <c r="Q256" s="7">
        <f t="shared" si="22"/>
        <v>0.91444444444444439</v>
      </c>
      <c r="R256" s="6">
        <v>12.08</v>
      </c>
      <c r="S256" s="3">
        <v>46027</v>
      </c>
    </row>
    <row r="257" hidden="1" ht="15.75" customHeight="1">
      <c r="A257" s="3">
        <v>46026</v>
      </c>
      <c r="B257" s="4" t="s">
        <v>32</v>
      </c>
      <c r="C257" s="4" t="s">
        <v>33</v>
      </c>
      <c r="D257" s="4" t="s">
        <v>17</v>
      </c>
      <c r="E257" s="5">
        <v>0.41736111111111113</v>
      </c>
      <c r="F257" s="6">
        <v>9.0099999999999998</v>
      </c>
      <c r="G257" s="4" t="s">
        <v>18</v>
      </c>
      <c r="H257" s="4" t="s">
        <v>19</v>
      </c>
      <c r="I257" s="4" t="s">
        <v>20</v>
      </c>
      <c r="J257" s="4" t="s">
        <v>21</v>
      </c>
      <c r="N257" s="3">
        <v>46026</v>
      </c>
      <c r="O257" s="4" t="s">
        <v>32</v>
      </c>
      <c r="P257" s="5">
        <v>0.41736111111111113</v>
      </c>
      <c r="Q257" s="7">
        <f t="shared" si="22"/>
        <v>0.7927777777777778</v>
      </c>
      <c r="R257" s="6">
        <v>9.0099999999999998</v>
      </c>
      <c r="S257" s="3">
        <v>46027</v>
      </c>
    </row>
    <row r="258" ht="15.75" customHeight="1">
      <c r="A258" s="3">
        <v>46026</v>
      </c>
      <c r="B258" s="4" t="s">
        <v>32</v>
      </c>
      <c r="C258" s="4" t="s">
        <v>33</v>
      </c>
      <c r="D258" s="4" t="s">
        <v>38</v>
      </c>
      <c r="E258" s="5">
        <v>0.79305555555555551</v>
      </c>
      <c r="F258" s="4"/>
      <c r="G258" s="4" t="s">
        <v>18</v>
      </c>
      <c r="H258" s="4" t="s">
        <v>19</v>
      </c>
      <c r="I258" s="4" t="s">
        <v>20</v>
      </c>
      <c r="J258" s="4" t="s">
        <v>21</v>
      </c>
    </row>
    <row r="259" ht="15.75" customHeight="1">
      <c r="A259" s="3">
        <v>46026</v>
      </c>
      <c r="B259" s="4" t="s">
        <v>15</v>
      </c>
      <c r="C259" s="4" t="s">
        <v>16</v>
      </c>
      <c r="D259" s="4" t="s">
        <v>38</v>
      </c>
      <c r="E259" s="5">
        <v>0.79305555555555551</v>
      </c>
      <c r="F259" s="4"/>
      <c r="G259" s="4" t="s">
        <v>18</v>
      </c>
      <c r="H259" s="4" t="s">
        <v>19</v>
      </c>
      <c r="I259" s="4" t="s">
        <v>20</v>
      </c>
      <c r="J259" s="4" t="s">
        <v>21</v>
      </c>
    </row>
    <row r="260" ht="15.75" customHeight="1">
      <c r="A260" s="3">
        <v>46026</v>
      </c>
      <c r="B260" s="4" t="s">
        <v>22</v>
      </c>
      <c r="C260" s="4" t="s">
        <v>23</v>
      </c>
      <c r="D260" s="4" t="s">
        <v>38</v>
      </c>
      <c r="E260" s="5">
        <v>0.79374999999999996</v>
      </c>
      <c r="F260" s="4"/>
      <c r="G260" s="4" t="s">
        <v>18</v>
      </c>
      <c r="H260" s="4" t="s">
        <v>19</v>
      </c>
      <c r="I260" s="4" t="s">
        <v>20</v>
      </c>
      <c r="J260" s="4" t="s">
        <v>21</v>
      </c>
    </row>
    <row r="261" ht="15.75" customHeight="1">
      <c r="A261" s="3">
        <v>46026</v>
      </c>
      <c r="B261" s="4" t="s">
        <v>24</v>
      </c>
      <c r="C261" s="4" t="s">
        <v>25</v>
      </c>
      <c r="D261" s="4" t="s">
        <v>38</v>
      </c>
      <c r="E261" s="5">
        <v>0.87916666666666665</v>
      </c>
      <c r="F261" s="4"/>
      <c r="G261" s="4" t="s">
        <v>26</v>
      </c>
      <c r="H261" s="4" t="s">
        <v>19</v>
      </c>
      <c r="I261" s="4" t="s">
        <v>20</v>
      </c>
      <c r="J261" s="4" t="s">
        <v>27</v>
      </c>
    </row>
    <row r="262" ht="15.75" customHeight="1">
      <c r="A262" s="3">
        <v>46026</v>
      </c>
      <c r="B262" s="4" t="s">
        <v>28</v>
      </c>
      <c r="C262" s="4" t="s">
        <v>29</v>
      </c>
      <c r="D262" s="4" t="s">
        <v>38</v>
      </c>
      <c r="E262" s="5">
        <v>0.9145833333333333</v>
      </c>
      <c r="F262" s="4"/>
      <c r="G262" s="4" t="s">
        <v>30</v>
      </c>
      <c r="H262" s="4" t="s">
        <v>19</v>
      </c>
      <c r="I262" s="4" t="s">
        <v>20</v>
      </c>
      <c r="J262" s="4" t="s">
        <v>31</v>
      </c>
    </row>
    <row r="263" hidden="1" ht="15.75" customHeight="1">
      <c r="A263" s="3">
        <v>46027</v>
      </c>
      <c r="B263" s="4" t="s">
        <v>22</v>
      </c>
      <c r="C263" s="4" t="s">
        <v>23</v>
      </c>
      <c r="D263" s="4" t="s">
        <v>17</v>
      </c>
      <c r="E263" s="5">
        <v>0.38611111111111113</v>
      </c>
      <c r="F263" s="6">
        <v>9.7899999999999991</v>
      </c>
      <c r="G263" s="4" t="s">
        <v>18</v>
      </c>
      <c r="H263" s="4" t="s">
        <v>19</v>
      </c>
      <c r="I263" s="4" t="s">
        <v>20</v>
      </c>
      <c r="J263" s="4" t="s">
        <v>21</v>
      </c>
      <c r="N263" s="3">
        <v>46027</v>
      </c>
      <c r="O263" s="4" t="s">
        <v>22</v>
      </c>
      <c r="P263" s="5">
        <v>0.38611111111111113</v>
      </c>
      <c r="Q263" s="7">
        <f t="shared" ref="Q263:Q269" si="23">P263 + (R263 / 24)</f>
        <v>0.79402777777777778</v>
      </c>
      <c r="R263" s="6">
        <v>9.7899999999999991</v>
      </c>
      <c r="S263" s="3">
        <v>46027</v>
      </c>
    </row>
    <row r="264" hidden="1" ht="15.75" customHeight="1">
      <c r="A264" s="3">
        <v>46027</v>
      </c>
      <c r="B264" s="4" t="s">
        <v>15</v>
      </c>
      <c r="C264" s="4" t="s">
        <v>16</v>
      </c>
      <c r="D264" s="4" t="s">
        <v>17</v>
      </c>
      <c r="E264" s="5">
        <v>0.39444444444444443</v>
      </c>
      <c r="F264" s="6">
        <v>9.6099999999999994</v>
      </c>
      <c r="G264" s="4" t="s">
        <v>18</v>
      </c>
      <c r="H264" s="4" t="s">
        <v>19</v>
      </c>
      <c r="I264" s="4" t="s">
        <v>20</v>
      </c>
      <c r="J264" s="4" t="s">
        <v>21</v>
      </c>
      <c r="N264" s="3">
        <v>46027</v>
      </c>
      <c r="O264" s="4" t="s">
        <v>15</v>
      </c>
      <c r="P264" s="5">
        <v>0.39444444444444443</v>
      </c>
      <c r="Q264" s="7">
        <f t="shared" si="23"/>
        <v>0.79486111111111102</v>
      </c>
      <c r="R264" s="6">
        <v>9.6099999999999994</v>
      </c>
      <c r="S264" s="3">
        <v>46028</v>
      </c>
    </row>
    <row r="265" hidden="1" ht="15.75" customHeight="1">
      <c r="A265" s="3">
        <v>46027</v>
      </c>
      <c r="B265" s="4" t="s">
        <v>24</v>
      </c>
      <c r="C265" s="4" t="s">
        <v>25</v>
      </c>
      <c r="D265" s="4" t="s">
        <v>17</v>
      </c>
      <c r="E265" s="5">
        <v>0.40902777777777777</v>
      </c>
      <c r="F265" s="6">
        <v>11.24</v>
      </c>
      <c r="G265" s="4" t="s">
        <v>26</v>
      </c>
      <c r="H265" s="4" t="s">
        <v>19</v>
      </c>
      <c r="I265" s="4" t="s">
        <v>20</v>
      </c>
      <c r="J265" s="4" t="s">
        <v>27</v>
      </c>
      <c r="N265" s="3">
        <v>46027</v>
      </c>
      <c r="O265" s="4" t="s">
        <v>24</v>
      </c>
      <c r="P265" s="5">
        <v>0.40902777777777777</v>
      </c>
      <c r="Q265" s="7">
        <f t="shared" si="23"/>
        <v>0.87736111111111104</v>
      </c>
      <c r="R265" s="6">
        <v>11.24</v>
      </c>
      <c r="S265" s="3">
        <v>46028</v>
      </c>
    </row>
    <row r="266" hidden="1" ht="15.75" customHeight="1">
      <c r="A266" s="3">
        <v>46027</v>
      </c>
      <c r="B266" s="4" t="s">
        <v>34</v>
      </c>
      <c r="C266" s="4" t="s">
        <v>35</v>
      </c>
      <c r="D266" s="4" t="s">
        <v>17</v>
      </c>
      <c r="E266" s="5">
        <v>0.41111111111111109</v>
      </c>
      <c r="F266" s="6">
        <v>9.1999999999999993</v>
      </c>
      <c r="G266" s="4" t="s">
        <v>18</v>
      </c>
      <c r="H266" s="4" t="s">
        <v>19</v>
      </c>
      <c r="I266" s="4" t="s">
        <v>20</v>
      </c>
      <c r="J266" s="4" t="s">
        <v>21</v>
      </c>
      <c r="N266" s="3">
        <v>46027</v>
      </c>
      <c r="O266" s="4" t="s">
        <v>34</v>
      </c>
      <c r="P266" s="5">
        <v>0.41111111111111109</v>
      </c>
      <c r="Q266" s="7">
        <f t="shared" si="23"/>
        <v>0.7944444444444444</v>
      </c>
      <c r="R266" s="6">
        <v>9.1999999999999993</v>
      </c>
      <c r="S266" s="3">
        <v>46028</v>
      </c>
    </row>
    <row r="267" hidden="1" ht="15.75" customHeight="1">
      <c r="A267" s="3">
        <v>46027</v>
      </c>
      <c r="B267" s="4" t="s">
        <v>28</v>
      </c>
      <c r="C267" s="4" t="s">
        <v>29</v>
      </c>
      <c r="D267" s="4" t="s">
        <v>17</v>
      </c>
      <c r="E267" s="5">
        <v>0.41388888888888886</v>
      </c>
      <c r="F267" s="6">
        <v>11.039999999999999</v>
      </c>
      <c r="G267" s="4" t="s">
        <v>30</v>
      </c>
      <c r="H267" s="4" t="s">
        <v>19</v>
      </c>
      <c r="I267" s="4" t="s">
        <v>20</v>
      </c>
      <c r="J267" s="4" t="s">
        <v>31</v>
      </c>
      <c r="N267" s="3">
        <v>46027</v>
      </c>
      <c r="O267" s="4" t="s">
        <v>28</v>
      </c>
      <c r="P267" s="5">
        <v>0.41388888888888886</v>
      </c>
      <c r="Q267" s="7">
        <f t="shared" si="23"/>
        <v>0.87388888888888883</v>
      </c>
      <c r="R267" s="6">
        <v>11.039999999999999</v>
      </c>
      <c r="S267" s="3">
        <v>46028</v>
      </c>
    </row>
    <row r="268" hidden="1" ht="15.75" customHeight="1">
      <c r="A268" s="3">
        <v>46027</v>
      </c>
      <c r="B268" s="4" t="s">
        <v>32</v>
      </c>
      <c r="C268" s="4" t="s">
        <v>33</v>
      </c>
      <c r="D268" s="4" t="s">
        <v>17</v>
      </c>
      <c r="E268" s="5">
        <v>0.42152777777777778</v>
      </c>
      <c r="F268" s="6">
        <v>8.9399999999999995</v>
      </c>
      <c r="G268" s="4" t="s">
        <v>18</v>
      </c>
      <c r="H268" s="4" t="s">
        <v>19</v>
      </c>
      <c r="I268" s="4" t="s">
        <v>20</v>
      </c>
      <c r="J268" s="4" t="s">
        <v>21</v>
      </c>
      <c r="N268" s="3">
        <v>46027</v>
      </c>
      <c r="O268" s="4" t="s">
        <v>32</v>
      </c>
      <c r="P268" s="5">
        <v>0.42152777777777778</v>
      </c>
      <c r="Q268" s="7">
        <f t="shared" si="23"/>
        <v>0.79402777777777778</v>
      </c>
      <c r="R268" s="6">
        <v>8.9399999999999995</v>
      </c>
      <c r="S268" s="3">
        <v>46028</v>
      </c>
    </row>
    <row r="269" hidden="1" ht="15.75" customHeight="1">
      <c r="A269" s="3">
        <v>46027</v>
      </c>
      <c r="B269" s="4" t="s">
        <v>36</v>
      </c>
      <c r="C269" s="4" t="s">
        <v>37</v>
      </c>
      <c r="D269" s="4" t="s">
        <v>17</v>
      </c>
      <c r="E269" s="5">
        <v>0.57708333333333328</v>
      </c>
      <c r="F269" s="6">
        <v>5.2400000000000002</v>
      </c>
      <c r="G269" s="4" t="s">
        <v>18</v>
      </c>
      <c r="H269" s="4" t="s">
        <v>19</v>
      </c>
      <c r="I269" s="4" t="s">
        <v>20</v>
      </c>
      <c r="J269" s="4" t="s">
        <v>21</v>
      </c>
      <c r="N269" s="3">
        <v>46027</v>
      </c>
      <c r="O269" s="4" t="s">
        <v>36</v>
      </c>
      <c r="P269" s="5">
        <v>0.57708333333333328</v>
      </c>
      <c r="Q269" s="7">
        <f t="shared" si="23"/>
        <v>0.79541666666666666</v>
      </c>
      <c r="R269" s="6">
        <v>5.2400000000000002</v>
      </c>
      <c r="S269" s="3">
        <v>46029</v>
      </c>
    </row>
    <row r="270" ht="15.75" customHeight="1">
      <c r="A270" s="3">
        <v>46027</v>
      </c>
      <c r="B270" s="4" t="s">
        <v>22</v>
      </c>
      <c r="C270" s="4" t="s">
        <v>23</v>
      </c>
      <c r="D270" s="4" t="s">
        <v>38</v>
      </c>
      <c r="E270" s="5">
        <v>0.79374999999999996</v>
      </c>
      <c r="F270" s="4"/>
      <c r="G270" s="4" t="s">
        <v>18</v>
      </c>
      <c r="H270" s="4" t="s">
        <v>19</v>
      </c>
      <c r="I270" s="4" t="s">
        <v>20</v>
      </c>
      <c r="J270" s="4" t="s">
        <v>21</v>
      </c>
    </row>
    <row r="271" ht="15.75" customHeight="1">
      <c r="A271" s="3">
        <v>46027</v>
      </c>
      <c r="B271" s="4" t="s">
        <v>32</v>
      </c>
      <c r="C271" s="4" t="s">
        <v>33</v>
      </c>
      <c r="D271" s="4" t="s">
        <v>38</v>
      </c>
      <c r="E271" s="5">
        <v>0.79374999999999996</v>
      </c>
      <c r="F271" s="4"/>
      <c r="G271" s="4" t="s">
        <v>18</v>
      </c>
      <c r="H271" s="4" t="s">
        <v>19</v>
      </c>
      <c r="I271" s="4" t="s">
        <v>20</v>
      </c>
      <c r="J271" s="4" t="s">
        <v>21</v>
      </c>
    </row>
    <row r="272" ht="15.75" customHeight="1">
      <c r="A272" s="3">
        <v>46027</v>
      </c>
      <c r="B272" s="4" t="s">
        <v>34</v>
      </c>
      <c r="C272" s="4" t="s">
        <v>35</v>
      </c>
      <c r="D272" s="4" t="s">
        <v>38</v>
      </c>
      <c r="E272" s="5">
        <v>0.7944444444444444</v>
      </c>
      <c r="F272" s="4"/>
      <c r="G272" s="4" t="s">
        <v>18</v>
      </c>
      <c r="H272" s="4" t="s">
        <v>19</v>
      </c>
      <c r="I272" s="4" t="s">
        <v>20</v>
      </c>
      <c r="J272" s="4" t="s">
        <v>21</v>
      </c>
    </row>
    <row r="273" ht="15.75" customHeight="1">
      <c r="A273" s="3">
        <v>46027</v>
      </c>
      <c r="B273" s="4" t="s">
        <v>15</v>
      </c>
      <c r="C273" s="4" t="s">
        <v>16</v>
      </c>
      <c r="D273" s="4" t="s">
        <v>38</v>
      </c>
      <c r="E273" s="5">
        <v>0.7944444444444444</v>
      </c>
      <c r="F273" s="4"/>
      <c r="G273" s="4" t="s">
        <v>18</v>
      </c>
      <c r="H273" s="4" t="s">
        <v>19</v>
      </c>
      <c r="I273" s="4" t="s">
        <v>20</v>
      </c>
      <c r="J273" s="4" t="s">
        <v>21</v>
      </c>
    </row>
    <row r="274" ht="15.75" customHeight="1">
      <c r="A274" s="3">
        <v>46027</v>
      </c>
      <c r="B274" s="4" t="s">
        <v>36</v>
      </c>
      <c r="C274" s="4" t="s">
        <v>37</v>
      </c>
      <c r="D274" s="4" t="s">
        <v>38</v>
      </c>
      <c r="E274" s="5">
        <v>0.79513888888888884</v>
      </c>
      <c r="F274" s="4"/>
      <c r="G274" s="4" t="s">
        <v>18</v>
      </c>
      <c r="H274" s="4" t="s">
        <v>19</v>
      </c>
      <c r="I274" s="4" t="s">
        <v>20</v>
      </c>
      <c r="J274" s="4" t="s">
        <v>21</v>
      </c>
    </row>
    <row r="275" ht="15.75" customHeight="1">
      <c r="A275" s="3">
        <v>46027</v>
      </c>
      <c r="B275" s="4" t="s">
        <v>28</v>
      </c>
      <c r="C275" s="4" t="s">
        <v>29</v>
      </c>
      <c r="D275" s="4" t="s">
        <v>38</v>
      </c>
      <c r="E275" s="5">
        <v>0.87361111111111112</v>
      </c>
      <c r="F275" s="4"/>
      <c r="G275" s="4" t="s">
        <v>30</v>
      </c>
      <c r="H275" s="4" t="s">
        <v>19</v>
      </c>
      <c r="I275" s="4" t="s">
        <v>20</v>
      </c>
      <c r="J275" s="4" t="s">
        <v>31</v>
      </c>
    </row>
    <row r="276" ht="15.75" customHeight="1">
      <c r="A276" s="3">
        <v>46027</v>
      </c>
      <c r="B276" s="4" t="s">
        <v>24</v>
      </c>
      <c r="C276" s="4" t="s">
        <v>25</v>
      </c>
      <c r="D276" s="4" t="s">
        <v>38</v>
      </c>
      <c r="E276" s="5">
        <v>0.87708333333333333</v>
      </c>
      <c r="F276" s="4"/>
      <c r="G276" s="4" t="s">
        <v>26</v>
      </c>
      <c r="H276" s="4" t="s">
        <v>19</v>
      </c>
      <c r="I276" s="4" t="s">
        <v>20</v>
      </c>
      <c r="J276" s="4" t="s">
        <v>27</v>
      </c>
    </row>
    <row r="277" hidden="1" ht="15.75" customHeight="1">
      <c r="A277" s="3">
        <v>46028</v>
      </c>
      <c r="B277" s="4" t="s">
        <v>22</v>
      </c>
      <c r="C277" s="4" t="s">
        <v>23</v>
      </c>
      <c r="D277" s="4" t="s">
        <v>17</v>
      </c>
      <c r="E277" s="5">
        <v>0.3888888888888889</v>
      </c>
      <c r="F277" s="6">
        <v>11.69</v>
      </c>
      <c r="G277" s="4" t="s">
        <v>26</v>
      </c>
      <c r="H277" s="4" t="s">
        <v>19</v>
      </c>
      <c r="I277" s="4" t="s">
        <v>20</v>
      </c>
      <c r="J277" s="4" t="s">
        <v>27</v>
      </c>
      <c r="N277" s="3">
        <v>46028</v>
      </c>
      <c r="O277" s="4" t="s">
        <v>22</v>
      </c>
      <c r="P277" s="5">
        <v>0.3888888888888889</v>
      </c>
      <c r="Q277" s="7">
        <f t="shared" ref="Q277:Q281" si="24">P277 + (R277 / 24)</f>
        <v>0.87597222222222215</v>
      </c>
      <c r="R277" s="6">
        <v>11.69</v>
      </c>
      <c r="S277" s="3">
        <v>46029</v>
      </c>
    </row>
    <row r="278" hidden="1" ht="15.75" customHeight="1">
      <c r="A278" s="3">
        <v>46028</v>
      </c>
      <c r="B278" s="4" t="s">
        <v>15</v>
      </c>
      <c r="C278" s="4" t="s">
        <v>16</v>
      </c>
      <c r="D278" s="4" t="s">
        <v>17</v>
      </c>
      <c r="E278" s="5">
        <v>0.3923611111111111</v>
      </c>
      <c r="F278" s="6">
        <v>9.7899999999999991</v>
      </c>
      <c r="G278" s="4" t="s">
        <v>18</v>
      </c>
      <c r="H278" s="4" t="s">
        <v>19</v>
      </c>
      <c r="I278" s="4" t="s">
        <v>20</v>
      </c>
      <c r="J278" s="4" t="s">
        <v>21</v>
      </c>
      <c r="N278" s="3">
        <v>46028</v>
      </c>
      <c r="O278" s="4" t="s">
        <v>15</v>
      </c>
      <c r="P278" s="5">
        <v>0.3923611111111111</v>
      </c>
      <c r="Q278" s="7">
        <f t="shared" si="24"/>
        <v>0.80027777777777775</v>
      </c>
      <c r="R278" s="6">
        <v>9.7899999999999991</v>
      </c>
      <c r="S278" s="3">
        <v>46029</v>
      </c>
    </row>
    <row r="279" hidden="1" ht="15.75" customHeight="1">
      <c r="A279" s="3">
        <v>46028</v>
      </c>
      <c r="B279" s="4" t="s">
        <v>24</v>
      </c>
      <c r="C279" s="4" t="s">
        <v>25</v>
      </c>
      <c r="D279" s="4" t="s">
        <v>17</v>
      </c>
      <c r="E279" s="5">
        <v>0.40138888888888891</v>
      </c>
      <c r="F279" s="6">
        <v>11.619999999999999</v>
      </c>
      <c r="G279" s="4" t="s">
        <v>30</v>
      </c>
      <c r="H279" s="4" t="s">
        <v>19</v>
      </c>
      <c r="I279" s="4" t="s">
        <v>20</v>
      </c>
      <c r="J279" s="4" t="s">
        <v>31</v>
      </c>
      <c r="N279" s="3">
        <v>46028</v>
      </c>
      <c r="O279" s="4" t="s">
        <v>24</v>
      </c>
      <c r="P279" s="5">
        <v>0.40138888888888891</v>
      </c>
      <c r="Q279" s="7">
        <f t="shared" si="24"/>
        <v>0.88555555555555554</v>
      </c>
      <c r="R279" s="6">
        <v>11.619999999999999</v>
      </c>
      <c r="S279" s="3">
        <v>46029</v>
      </c>
    </row>
    <row r="280" hidden="1" ht="15.75" customHeight="1">
      <c r="A280" s="3">
        <v>46028</v>
      </c>
      <c r="B280" s="4" t="s">
        <v>34</v>
      </c>
      <c r="C280" s="4" t="s">
        <v>35</v>
      </c>
      <c r="D280" s="4" t="s">
        <v>17</v>
      </c>
      <c r="E280" s="5">
        <v>0.41319444444444442</v>
      </c>
      <c r="F280" s="6">
        <v>9.2899999999999991</v>
      </c>
      <c r="G280" s="4" t="s">
        <v>18</v>
      </c>
      <c r="H280" s="4" t="s">
        <v>19</v>
      </c>
      <c r="I280" s="4" t="s">
        <v>20</v>
      </c>
      <c r="J280" s="4" t="s">
        <v>21</v>
      </c>
      <c r="N280" s="3">
        <v>46028</v>
      </c>
      <c r="O280" s="4" t="s">
        <v>34</v>
      </c>
      <c r="P280" s="5">
        <v>0.41319444444444442</v>
      </c>
      <c r="Q280" s="7">
        <f t="shared" si="24"/>
        <v>0.80027777777777764</v>
      </c>
      <c r="R280" s="6">
        <v>9.2899999999999991</v>
      </c>
      <c r="S280" s="3">
        <v>46029</v>
      </c>
    </row>
    <row r="281" hidden="1" ht="15.75" customHeight="1">
      <c r="A281" s="3">
        <v>46028</v>
      </c>
      <c r="B281" s="4" t="s">
        <v>36</v>
      </c>
      <c r="C281" s="4" t="s">
        <v>37</v>
      </c>
      <c r="D281" s="4" t="s">
        <v>17</v>
      </c>
      <c r="E281" s="5">
        <v>0.46041666666666664</v>
      </c>
      <c r="F281" s="6">
        <v>8.1600000000000001</v>
      </c>
      <c r="G281" s="4" t="s">
        <v>18</v>
      </c>
      <c r="H281" s="4" t="s">
        <v>19</v>
      </c>
      <c r="I281" s="4" t="s">
        <v>20</v>
      </c>
      <c r="J281" s="4" t="s">
        <v>21</v>
      </c>
      <c r="N281" s="3">
        <v>46028</v>
      </c>
      <c r="O281" s="4" t="s">
        <v>36</v>
      </c>
      <c r="P281" s="5">
        <v>0.46041666666666664</v>
      </c>
      <c r="Q281" s="7">
        <f t="shared" si="24"/>
        <v>0.80041666666666667</v>
      </c>
      <c r="R281" s="6">
        <v>8.1600000000000001</v>
      </c>
      <c r="S281" s="3">
        <v>46030</v>
      </c>
    </row>
    <row r="282" ht="15.75" customHeight="1">
      <c r="A282" s="3">
        <v>46028</v>
      </c>
      <c r="B282" s="4" t="s">
        <v>15</v>
      </c>
      <c r="C282" s="4" t="s">
        <v>16</v>
      </c>
      <c r="D282" s="4" t="s">
        <v>38</v>
      </c>
      <c r="E282" s="5">
        <v>0.80000000000000004</v>
      </c>
      <c r="F282" s="4"/>
      <c r="G282" s="4" t="s">
        <v>18</v>
      </c>
      <c r="H282" s="4" t="s">
        <v>19</v>
      </c>
      <c r="I282" s="4" t="s">
        <v>20</v>
      </c>
      <c r="J282" s="4" t="s">
        <v>21</v>
      </c>
    </row>
    <row r="283" ht="15.75" customHeight="1">
      <c r="A283" s="3">
        <v>46028</v>
      </c>
      <c r="B283" s="4" t="s">
        <v>34</v>
      </c>
      <c r="C283" s="4" t="s">
        <v>35</v>
      </c>
      <c r="D283" s="4" t="s">
        <v>38</v>
      </c>
      <c r="E283" s="5">
        <v>0.80069444444444449</v>
      </c>
      <c r="F283" s="4"/>
      <c r="G283" s="4" t="s">
        <v>18</v>
      </c>
      <c r="H283" s="4" t="s">
        <v>19</v>
      </c>
      <c r="I283" s="4" t="s">
        <v>20</v>
      </c>
      <c r="J283" s="4" t="s">
        <v>21</v>
      </c>
    </row>
    <row r="284" ht="15.75" customHeight="1">
      <c r="A284" s="3">
        <v>46028</v>
      </c>
      <c r="B284" s="4" t="s">
        <v>36</v>
      </c>
      <c r="C284" s="4" t="s">
        <v>37</v>
      </c>
      <c r="D284" s="4" t="s">
        <v>38</v>
      </c>
      <c r="E284" s="5">
        <v>0.80069444444444449</v>
      </c>
      <c r="F284" s="4"/>
      <c r="G284" s="4" t="s">
        <v>18</v>
      </c>
      <c r="H284" s="4" t="s">
        <v>19</v>
      </c>
      <c r="I284" s="4" t="s">
        <v>20</v>
      </c>
      <c r="J284" s="4" t="s">
        <v>21</v>
      </c>
    </row>
    <row r="285" ht="15.75" customHeight="1">
      <c r="A285" s="3">
        <v>46028</v>
      </c>
      <c r="B285" s="4" t="s">
        <v>22</v>
      </c>
      <c r="C285" s="4" t="s">
        <v>23</v>
      </c>
      <c r="D285" s="4" t="s">
        <v>38</v>
      </c>
      <c r="E285" s="5">
        <v>0.87638888888888888</v>
      </c>
      <c r="F285" s="4"/>
      <c r="G285" s="4" t="s">
        <v>26</v>
      </c>
      <c r="H285" s="4" t="s">
        <v>19</v>
      </c>
      <c r="I285" s="4" t="s">
        <v>20</v>
      </c>
      <c r="J285" s="4" t="s">
        <v>27</v>
      </c>
    </row>
    <row r="286" ht="15.75" customHeight="1">
      <c r="A286" s="3">
        <v>46028</v>
      </c>
      <c r="B286" s="4" t="s">
        <v>24</v>
      </c>
      <c r="C286" s="4" t="s">
        <v>25</v>
      </c>
      <c r="D286" s="4" t="s">
        <v>38</v>
      </c>
      <c r="E286" s="5">
        <v>0.88541666666666663</v>
      </c>
      <c r="F286" s="4"/>
      <c r="G286" s="4" t="s">
        <v>30</v>
      </c>
      <c r="H286" s="4" t="s">
        <v>19</v>
      </c>
      <c r="I286" s="4" t="s">
        <v>20</v>
      </c>
      <c r="J286" s="4" t="s">
        <v>31</v>
      </c>
    </row>
    <row r="287" ht="15.75" customHeight="1">
      <c r="A287" s="3">
        <v>46028</v>
      </c>
      <c r="B287" s="4" t="s">
        <v>24</v>
      </c>
      <c r="C287" s="4" t="s">
        <v>25</v>
      </c>
      <c r="D287" s="4" t="s">
        <v>38</v>
      </c>
      <c r="E287" s="5">
        <v>0.88541666666666663</v>
      </c>
      <c r="F287" s="4"/>
      <c r="G287" s="4" t="s">
        <v>30</v>
      </c>
      <c r="H287" s="4" t="s">
        <v>19</v>
      </c>
      <c r="I287" s="4" t="s">
        <v>20</v>
      </c>
      <c r="J287" s="4" t="s">
        <v>31</v>
      </c>
    </row>
    <row r="288" hidden="1" ht="15.75" customHeight="1">
      <c r="A288" s="3">
        <v>46029</v>
      </c>
      <c r="B288" s="4" t="s">
        <v>22</v>
      </c>
      <c r="C288" s="4" t="s">
        <v>23</v>
      </c>
      <c r="D288" s="4" t="s">
        <v>17</v>
      </c>
      <c r="E288" s="5">
        <v>0.36736111111111114</v>
      </c>
      <c r="F288" s="6">
        <v>11.82</v>
      </c>
      <c r="G288" s="4" t="s">
        <v>18</v>
      </c>
      <c r="H288" s="4" t="s">
        <v>19</v>
      </c>
      <c r="I288" s="4" t="s">
        <v>20</v>
      </c>
      <c r="J288" s="4" t="s">
        <v>21</v>
      </c>
      <c r="N288" s="3">
        <v>46029</v>
      </c>
      <c r="O288" s="4" t="s">
        <v>22</v>
      </c>
      <c r="P288" s="5">
        <v>0.36736111111111114</v>
      </c>
      <c r="Q288" s="7">
        <f t="shared" ref="Q288:Q292" si="25">P288 + (R288 / 24)</f>
        <v>0.85986111111111119</v>
      </c>
      <c r="R288" s="6">
        <v>11.82</v>
      </c>
      <c r="S288" s="3">
        <v>46030</v>
      </c>
    </row>
    <row r="289" hidden="1" ht="15.75" customHeight="1">
      <c r="A289" s="3">
        <v>46029</v>
      </c>
      <c r="B289" s="4" t="s">
        <v>24</v>
      </c>
      <c r="C289" s="4" t="s">
        <v>25</v>
      </c>
      <c r="D289" s="4" t="s">
        <v>17</v>
      </c>
      <c r="E289" s="5">
        <v>0.41041666666666665</v>
      </c>
      <c r="F289" s="6">
        <v>11.130000000000001</v>
      </c>
      <c r="G289" s="4" t="s">
        <v>30</v>
      </c>
      <c r="H289" s="4" t="s">
        <v>19</v>
      </c>
      <c r="I289" s="4" t="s">
        <v>20</v>
      </c>
      <c r="J289" s="4" t="s">
        <v>31</v>
      </c>
      <c r="N289" s="3">
        <v>46029</v>
      </c>
      <c r="O289" s="4" t="s">
        <v>24</v>
      </c>
      <c r="P289" s="5">
        <v>0.41041666666666665</v>
      </c>
      <c r="Q289" s="7">
        <f t="shared" si="25"/>
        <v>0.87416666666666676</v>
      </c>
      <c r="R289" s="6">
        <v>11.130000000000001</v>
      </c>
      <c r="S289" s="3">
        <v>46030</v>
      </c>
    </row>
    <row r="290" hidden="1" ht="15.75" customHeight="1">
      <c r="A290" s="3">
        <v>46029</v>
      </c>
      <c r="B290" s="4" t="s">
        <v>34</v>
      </c>
      <c r="C290" s="4" t="s">
        <v>35</v>
      </c>
      <c r="D290" s="4" t="s">
        <v>17</v>
      </c>
      <c r="E290" s="5">
        <v>0.42222222222222222</v>
      </c>
      <c r="F290" s="6">
        <v>10.92</v>
      </c>
      <c r="G290" s="4" t="s">
        <v>26</v>
      </c>
      <c r="H290" s="4" t="s">
        <v>19</v>
      </c>
      <c r="I290" s="4" t="s">
        <v>20</v>
      </c>
      <c r="J290" s="4" t="s">
        <v>27</v>
      </c>
      <c r="N290" s="3">
        <v>46029</v>
      </c>
      <c r="O290" s="4" t="s">
        <v>34</v>
      </c>
      <c r="P290" s="5">
        <v>0.42222222222222222</v>
      </c>
      <c r="Q290" s="7">
        <f t="shared" si="25"/>
        <v>0.87722222222222224</v>
      </c>
      <c r="R290" s="6">
        <v>10.92</v>
      </c>
      <c r="S290" s="3">
        <v>46030</v>
      </c>
    </row>
    <row r="291" hidden="1" ht="15.75" customHeight="1">
      <c r="A291" s="3">
        <v>46029</v>
      </c>
      <c r="B291" s="4" t="s">
        <v>36</v>
      </c>
      <c r="C291" s="4" t="s">
        <v>37</v>
      </c>
      <c r="D291" s="4" t="s">
        <v>17</v>
      </c>
      <c r="E291" s="5">
        <v>0.46319444444444446</v>
      </c>
      <c r="F291" s="6">
        <v>8.2599999999999998</v>
      </c>
      <c r="G291" s="4" t="s">
        <v>18</v>
      </c>
      <c r="H291" s="4" t="s">
        <v>19</v>
      </c>
      <c r="I291" s="4" t="s">
        <v>20</v>
      </c>
      <c r="J291" s="4" t="s">
        <v>21</v>
      </c>
      <c r="N291" s="3">
        <v>46029</v>
      </c>
      <c r="O291" s="4" t="s">
        <v>36</v>
      </c>
      <c r="P291" s="5">
        <v>0.46319444444444446</v>
      </c>
      <c r="Q291" s="7">
        <f t="shared" si="25"/>
        <v>0.8073611111111112</v>
      </c>
      <c r="R291" s="6">
        <v>8.2599999999999998</v>
      </c>
      <c r="S291" s="3">
        <v>46030</v>
      </c>
    </row>
    <row r="292" hidden="1" ht="15.75" customHeight="1">
      <c r="A292" s="3">
        <v>46029</v>
      </c>
      <c r="B292" s="4" t="s">
        <v>32</v>
      </c>
      <c r="C292" s="4" t="s">
        <v>33</v>
      </c>
      <c r="D292" s="4" t="s">
        <v>17</v>
      </c>
      <c r="E292" s="5">
        <v>0.49930555555555556</v>
      </c>
      <c r="F292" s="6">
        <v>7.1399999999999997</v>
      </c>
      <c r="G292" s="4" t="s">
        <v>18</v>
      </c>
      <c r="H292" s="4" t="s">
        <v>19</v>
      </c>
      <c r="I292" s="4" t="s">
        <v>20</v>
      </c>
      <c r="J292" s="4" t="s">
        <v>21</v>
      </c>
      <c r="N292" s="3">
        <v>46029</v>
      </c>
      <c r="O292" s="4" t="s">
        <v>32</v>
      </c>
      <c r="P292" s="5">
        <v>0.49930555555555556</v>
      </c>
      <c r="Q292" s="7">
        <f t="shared" si="25"/>
        <v>0.79680555555555554</v>
      </c>
      <c r="R292" s="6">
        <v>7.1399999999999997</v>
      </c>
      <c r="S292" s="3">
        <v>46030</v>
      </c>
    </row>
    <row r="293" ht="15.75" customHeight="1">
      <c r="A293" s="3">
        <v>46029</v>
      </c>
      <c r="B293" s="4" t="s">
        <v>32</v>
      </c>
      <c r="C293" s="4" t="s">
        <v>33</v>
      </c>
      <c r="D293" s="4" t="s">
        <v>38</v>
      </c>
      <c r="E293" s="5">
        <v>0.79652777777777772</v>
      </c>
      <c r="F293" s="4"/>
      <c r="G293" s="4" t="s">
        <v>18</v>
      </c>
      <c r="H293" s="4" t="s">
        <v>19</v>
      </c>
      <c r="I293" s="4" t="s">
        <v>20</v>
      </c>
      <c r="J293" s="4" t="s">
        <v>21</v>
      </c>
    </row>
    <row r="294" ht="15.75" customHeight="1">
      <c r="A294" s="3">
        <v>46029</v>
      </c>
      <c r="B294" s="4" t="s">
        <v>36</v>
      </c>
      <c r="C294" s="4" t="s">
        <v>37</v>
      </c>
      <c r="D294" s="4" t="s">
        <v>38</v>
      </c>
      <c r="E294" s="5">
        <v>0.80694444444444446</v>
      </c>
      <c r="F294" s="4"/>
      <c r="G294" s="4" t="s">
        <v>18</v>
      </c>
      <c r="H294" s="4" t="s">
        <v>19</v>
      </c>
      <c r="I294" s="4" t="s">
        <v>20</v>
      </c>
      <c r="J294" s="4" t="s">
        <v>21</v>
      </c>
    </row>
    <row r="295" ht="15.75" customHeight="1">
      <c r="A295" s="3">
        <v>46029</v>
      </c>
      <c r="B295" s="4" t="s">
        <v>22</v>
      </c>
      <c r="C295" s="4" t="s">
        <v>23</v>
      </c>
      <c r="D295" s="4" t="s">
        <v>38</v>
      </c>
      <c r="E295" s="5">
        <v>0.85972222222222228</v>
      </c>
      <c r="F295" s="4"/>
      <c r="G295" s="4" t="s">
        <v>18</v>
      </c>
      <c r="H295" s="4" t="s">
        <v>19</v>
      </c>
      <c r="I295" s="4" t="s">
        <v>20</v>
      </c>
      <c r="J295" s="4" t="s">
        <v>21</v>
      </c>
    </row>
    <row r="296" ht="15.75" customHeight="1">
      <c r="A296" s="3">
        <v>46029</v>
      </c>
      <c r="B296" s="4" t="s">
        <v>24</v>
      </c>
      <c r="C296" s="4" t="s">
        <v>25</v>
      </c>
      <c r="D296" s="4" t="s">
        <v>38</v>
      </c>
      <c r="E296" s="5">
        <v>0.87430555555555556</v>
      </c>
      <c r="F296" s="4"/>
      <c r="G296" s="4" t="s">
        <v>30</v>
      </c>
      <c r="H296" s="4" t="s">
        <v>19</v>
      </c>
      <c r="I296" s="4" t="s">
        <v>20</v>
      </c>
      <c r="J296" s="4" t="s">
        <v>31</v>
      </c>
    </row>
    <row r="297" ht="15.75" customHeight="1">
      <c r="A297" s="3">
        <v>46029</v>
      </c>
      <c r="B297" s="4" t="s">
        <v>34</v>
      </c>
      <c r="C297" s="4" t="s">
        <v>35</v>
      </c>
      <c r="D297" s="4" t="s">
        <v>38</v>
      </c>
      <c r="E297" s="5">
        <v>0.87708333333333333</v>
      </c>
      <c r="F297" s="4"/>
      <c r="G297" s="4" t="s">
        <v>26</v>
      </c>
      <c r="H297" s="4" t="s">
        <v>19</v>
      </c>
      <c r="I297" s="4" t="s">
        <v>20</v>
      </c>
      <c r="J297" s="4" t="s">
        <v>27</v>
      </c>
    </row>
    <row r="298" hidden="1" ht="15.75" customHeight="1">
      <c r="A298" s="3">
        <v>46030</v>
      </c>
      <c r="B298" s="4" t="s">
        <v>15</v>
      </c>
      <c r="C298" s="4" t="s">
        <v>16</v>
      </c>
      <c r="D298" s="4" t="s">
        <v>17</v>
      </c>
      <c r="E298" s="5">
        <v>0.3840277777777778</v>
      </c>
      <c r="F298" s="6">
        <v>11.07</v>
      </c>
      <c r="G298" s="4" t="s">
        <v>18</v>
      </c>
      <c r="H298" s="4" t="s">
        <v>19</v>
      </c>
      <c r="I298" s="4" t="s">
        <v>20</v>
      </c>
      <c r="J298" s="4" t="s">
        <v>21</v>
      </c>
      <c r="N298" s="3">
        <v>46030</v>
      </c>
      <c r="O298" s="4" t="s">
        <v>15</v>
      </c>
      <c r="P298" s="5">
        <v>0.3840277777777778</v>
      </c>
      <c r="Q298" s="7">
        <f t="shared" ref="Q298:Q303" si="26">P298 + (R298 / 24)</f>
        <v>0.84527777777777779</v>
      </c>
      <c r="R298" s="6">
        <v>11.07</v>
      </c>
      <c r="S298" s="3">
        <v>46031</v>
      </c>
    </row>
    <row r="299" hidden="1" ht="15.75" customHeight="1">
      <c r="A299" s="3">
        <v>46030</v>
      </c>
      <c r="B299" s="4" t="s">
        <v>24</v>
      </c>
      <c r="C299" s="4" t="s">
        <v>25</v>
      </c>
      <c r="D299" s="4" t="s">
        <v>17</v>
      </c>
      <c r="E299" s="5">
        <v>0.40625</v>
      </c>
      <c r="F299" s="6">
        <v>11.27</v>
      </c>
      <c r="G299" s="4" t="s">
        <v>26</v>
      </c>
      <c r="H299" s="4" t="s">
        <v>19</v>
      </c>
      <c r="I299" s="4" t="s">
        <v>20</v>
      </c>
      <c r="J299" s="4" t="s">
        <v>27</v>
      </c>
      <c r="N299" s="3">
        <v>46030</v>
      </c>
      <c r="O299" s="4" t="s">
        <v>24</v>
      </c>
      <c r="P299" s="5">
        <v>0.40625</v>
      </c>
      <c r="Q299" s="7">
        <f t="shared" si="26"/>
        <v>0.87583333333333324</v>
      </c>
      <c r="R299" s="6">
        <v>11.27</v>
      </c>
      <c r="S299" s="3">
        <v>46031</v>
      </c>
    </row>
    <row r="300" hidden="1" ht="15.75" customHeight="1">
      <c r="A300" s="3">
        <v>46030</v>
      </c>
      <c r="B300" s="4" t="s">
        <v>28</v>
      </c>
      <c r="C300" s="4" t="s">
        <v>29</v>
      </c>
      <c r="D300" s="4" t="s">
        <v>17</v>
      </c>
      <c r="E300" s="5">
        <v>0.41597222222222224</v>
      </c>
      <c r="F300" s="6">
        <v>11.220000000000001</v>
      </c>
      <c r="G300" s="4" t="s">
        <v>30</v>
      </c>
      <c r="H300" s="4" t="s">
        <v>19</v>
      </c>
      <c r="I300" s="4" t="s">
        <v>20</v>
      </c>
      <c r="J300" s="4" t="s">
        <v>31</v>
      </c>
      <c r="N300" s="3">
        <v>46030</v>
      </c>
      <c r="O300" s="4" t="s">
        <v>28</v>
      </c>
      <c r="P300" s="5">
        <v>0.41597222222222224</v>
      </c>
      <c r="Q300" s="7">
        <f t="shared" si="26"/>
        <v>0.88347222222222221</v>
      </c>
      <c r="R300" s="6">
        <v>11.220000000000001</v>
      </c>
      <c r="S300" s="3">
        <v>46031</v>
      </c>
    </row>
    <row r="301" hidden="1" ht="15.75" customHeight="1">
      <c r="A301" s="3">
        <v>46030</v>
      </c>
      <c r="B301" s="4" t="s">
        <v>39</v>
      </c>
      <c r="C301" s="4" t="s">
        <v>40</v>
      </c>
      <c r="D301" s="4" t="s">
        <v>17</v>
      </c>
      <c r="E301" s="5">
        <v>0.42083333333333334</v>
      </c>
      <c r="F301" s="6">
        <v>9.0399999999999991</v>
      </c>
      <c r="G301" s="4" t="s">
        <v>18</v>
      </c>
      <c r="H301" s="4" t="s">
        <v>19</v>
      </c>
      <c r="I301" s="4" t="s">
        <v>20</v>
      </c>
      <c r="J301" s="4" t="s">
        <v>21</v>
      </c>
      <c r="N301" s="3">
        <v>46030</v>
      </c>
      <c r="O301" s="4" t="s">
        <v>39</v>
      </c>
      <c r="P301" s="5">
        <v>0.42083333333333334</v>
      </c>
      <c r="Q301" s="7">
        <f t="shared" si="26"/>
        <v>0.79749999999999999</v>
      </c>
      <c r="R301" s="6">
        <v>9.0399999999999991</v>
      </c>
      <c r="S301" s="3">
        <v>46031</v>
      </c>
    </row>
    <row r="302" hidden="1" ht="15.75" customHeight="1">
      <c r="A302" s="3">
        <v>46030</v>
      </c>
      <c r="B302" s="4" t="s">
        <v>32</v>
      </c>
      <c r="C302" s="4" t="s">
        <v>33</v>
      </c>
      <c r="D302" s="4" t="s">
        <v>17</v>
      </c>
      <c r="E302" s="5">
        <v>0.45416666666666666</v>
      </c>
      <c r="F302" s="6">
        <v>8.3300000000000001</v>
      </c>
      <c r="G302" s="4" t="s">
        <v>18</v>
      </c>
      <c r="H302" s="4" t="s">
        <v>19</v>
      </c>
      <c r="I302" s="4" t="s">
        <v>20</v>
      </c>
      <c r="J302" s="4" t="s">
        <v>21</v>
      </c>
      <c r="N302" s="3">
        <v>46030</v>
      </c>
      <c r="O302" s="4" t="s">
        <v>32</v>
      </c>
      <c r="P302" s="5">
        <v>0.45416666666666666</v>
      </c>
      <c r="Q302" s="7">
        <f t="shared" si="26"/>
        <v>0.80125000000000002</v>
      </c>
      <c r="R302" s="6">
        <v>8.3300000000000001</v>
      </c>
      <c r="S302" s="3">
        <v>46031</v>
      </c>
    </row>
    <row r="303" hidden="1" ht="15.75" customHeight="1">
      <c r="A303" s="3">
        <v>46030</v>
      </c>
      <c r="B303" s="4" t="s">
        <v>36</v>
      </c>
      <c r="C303" s="4" t="s">
        <v>37</v>
      </c>
      <c r="D303" s="4" t="s">
        <v>17</v>
      </c>
      <c r="E303" s="5">
        <v>0.45902777777777776</v>
      </c>
      <c r="F303" s="6">
        <v>9.2799999999999994</v>
      </c>
      <c r="G303" s="4" t="s">
        <v>18</v>
      </c>
      <c r="H303" s="4" t="s">
        <v>19</v>
      </c>
      <c r="I303" s="4" t="s">
        <v>20</v>
      </c>
      <c r="J303" s="4" t="s">
        <v>21</v>
      </c>
      <c r="N303" s="3">
        <v>46030</v>
      </c>
      <c r="O303" s="4" t="s">
        <v>36</v>
      </c>
      <c r="P303" s="5">
        <v>0.45902777777777776</v>
      </c>
      <c r="Q303" s="7">
        <f t="shared" si="26"/>
        <v>0.84569444444444442</v>
      </c>
      <c r="R303" s="6">
        <v>9.2799999999999994</v>
      </c>
      <c r="S303" s="3">
        <v>46031</v>
      </c>
    </row>
    <row r="304" ht="15.75" customHeight="1">
      <c r="A304" s="3">
        <v>46030</v>
      </c>
      <c r="B304" s="4" t="s">
        <v>39</v>
      </c>
      <c r="C304" s="4" t="s">
        <v>40</v>
      </c>
      <c r="D304" s="4" t="s">
        <v>38</v>
      </c>
      <c r="E304" s="5">
        <v>0.79722222222222228</v>
      </c>
      <c r="F304" s="4"/>
      <c r="G304" s="4" t="s">
        <v>18</v>
      </c>
      <c r="H304" s="4" t="s">
        <v>19</v>
      </c>
      <c r="I304" s="4" t="s">
        <v>20</v>
      </c>
      <c r="J304" s="4" t="s">
        <v>21</v>
      </c>
    </row>
    <row r="305" ht="15.75" customHeight="1">
      <c r="A305" s="3">
        <v>46030</v>
      </c>
      <c r="B305" s="4" t="s">
        <v>32</v>
      </c>
      <c r="C305" s="4" t="s">
        <v>33</v>
      </c>
      <c r="D305" s="4" t="s">
        <v>38</v>
      </c>
      <c r="E305" s="5">
        <v>0.80138888888888893</v>
      </c>
      <c r="F305" s="4"/>
      <c r="G305" s="4" t="s">
        <v>18</v>
      </c>
      <c r="H305" s="4" t="s">
        <v>19</v>
      </c>
      <c r="I305" s="4" t="s">
        <v>20</v>
      </c>
      <c r="J305" s="4" t="s">
        <v>21</v>
      </c>
    </row>
    <row r="306" ht="15.75" customHeight="1">
      <c r="A306" s="3">
        <v>46030</v>
      </c>
      <c r="B306" s="4" t="s">
        <v>15</v>
      </c>
      <c r="C306" s="4" t="s">
        <v>16</v>
      </c>
      <c r="D306" s="4" t="s">
        <v>38</v>
      </c>
      <c r="E306" s="5">
        <v>0.84583333333333333</v>
      </c>
      <c r="F306" s="4"/>
      <c r="G306" s="4" t="s">
        <v>18</v>
      </c>
      <c r="H306" s="4" t="s">
        <v>19</v>
      </c>
      <c r="I306" s="4" t="s">
        <v>20</v>
      </c>
      <c r="J306" s="4" t="s">
        <v>21</v>
      </c>
    </row>
    <row r="307" ht="15.75" customHeight="1">
      <c r="A307" s="3">
        <v>46030</v>
      </c>
      <c r="B307" s="4" t="s">
        <v>36</v>
      </c>
      <c r="C307" s="4" t="s">
        <v>37</v>
      </c>
      <c r="D307" s="4" t="s">
        <v>38</v>
      </c>
      <c r="E307" s="5">
        <v>0.84583333333333333</v>
      </c>
      <c r="F307" s="4"/>
      <c r="G307" s="4" t="s">
        <v>18</v>
      </c>
      <c r="H307" s="4" t="s">
        <v>19</v>
      </c>
      <c r="I307" s="4" t="s">
        <v>20</v>
      </c>
      <c r="J307" s="4" t="s">
        <v>21</v>
      </c>
    </row>
    <row r="308" ht="15.75" customHeight="1">
      <c r="A308" s="3">
        <v>46030</v>
      </c>
      <c r="B308" s="4" t="s">
        <v>24</v>
      </c>
      <c r="C308" s="4" t="s">
        <v>25</v>
      </c>
      <c r="D308" s="4" t="s">
        <v>38</v>
      </c>
      <c r="E308" s="5">
        <v>0.87569444444444444</v>
      </c>
      <c r="F308" s="4"/>
      <c r="G308" s="4" t="s">
        <v>26</v>
      </c>
      <c r="H308" s="4" t="s">
        <v>19</v>
      </c>
      <c r="I308" s="4" t="s">
        <v>20</v>
      </c>
      <c r="J308" s="4" t="s">
        <v>27</v>
      </c>
    </row>
    <row r="309" ht="15.75" customHeight="1">
      <c r="A309" s="3">
        <v>46030</v>
      </c>
      <c r="B309" s="4" t="s">
        <v>28</v>
      </c>
      <c r="C309" s="4" t="s">
        <v>29</v>
      </c>
      <c r="D309" s="4" t="s">
        <v>38</v>
      </c>
      <c r="E309" s="5">
        <v>0.8833333333333333</v>
      </c>
      <c r="F309" s="4"/>
      <c r="G309" s="4" t="s">
        <v>30</v>
      </c>
      <c r="H309" s="4" t="s">
        <v>19</v>
      </c>
      <c r="I309" s="4" t="s">
        <v>20</v>
      </c>
      <c r="J309" s="4" t="s">
        <v>31</v>
      </c>
    </row>
    <row r="310" hidden="1" ht="15.75" customHeight="1">
      <c r="A310" s="3">
        <v>46031</v>
      </c>
      <c r="B310" s="4" t="s">
        <v>15</v>
      </c>
      <c r="C310" s="4" t="s">
        <v>16</v>
      </c>
      <c r="D310" s="4" t="s">
        <v>17</v>
      </c>
      <c r="E310" s="5">
        <v>0.39166666666666666</v>
      </c>
      <c r="F310" s="6">
        <v>9.7100000000000009</v>
      </c>
      <c r="G310" s="4" t="s">
        <v>18</v>
      </c>
      <c r="H310" s="4" t="s">
        <v>19</v>
      </c>
      <c r="I310" s="4" t="s">
        <v>20</v>
      </c>
      <c r="J310" s="4" t="s">
        <v>21</v>
      </c>
      <c r="N310" s="3">
        <v>46031</v>
      </c>
      <c r="O310" s="4" t="s">
        <v>15</v>
      </c>
      <c r="P310" s="5">
        <v>0.39166666666666666</v>
      </c>
      <c r="Q310" s="7">
        <f t="shared" ref="Q310:Q316" si="27">P310 + (R310 / 24)</f>
        <v>0.79625000000000001</v>
      </c>
      <c r="R310" s="6">
        <v>9.7100000000000009</v>
      </c>
      <c r="S310" s="3">
        <v>46031</v>
      </c>
    </row>
    <row r="311" hidden="1" ht="15.75" customHeight="1">
      <c r="A311" s="3">
        <v>46031</v>
      </c>
      <c r="B311" s="4" t="s">
        <v>22</v>
      </c>
      <c r="C311" s="4" t="s">
        <v>23</v>
      </c>
      <c r="D311" s="4" t="s">
        <v>17</v>
      </c>
      <c r="E311" s="5">
        <v>0.39513888888888887</v>
      </c>
      <c r="F311" s="6">
        <v>9.6199999999999992</v>
      </c>
      <c r="G311" s="4" t="s">
        <v>18</v>
      </c>
      <c r="H311" s="4" t="s">
        <v>19</v>
      </c>
      <c r="I311" s="4" t="s">
        <v>20</v>
      </c>
      <c r="J311" s="4" t="s">
        <v>21</v>
      </c>
      <c r="N311" s="3">
        <v>46031</v>
      </c>
      <c r="O311" s="4" t="s">
        <v>22</v>
      </c>
      <c r="P311" s="5">
        <v>0.39513888888888887</v>
      </c>
      <c r="Q311" s="7">
        <f t="shared" si="27"/>
        <v>0.79597222222222219</v>
      </c>
      <c r="R311" s="6">
        <v>9.6199999999999992</v>
      </c>
      <c r="S311" s="3">
        <v>46031</v>
      </c>
    </row>
    <row r="312" hidden="1" ht="15.75" customHeight="1">
      <c r="A312" s="3">
        <v>46031</v>
      </c>
      <c r="B312" s="4" t="s">
        <v>36</v>
      </c>
      <c r="C312" s="4" t="s">
        <v>37</v>
      </c>
      <c r="D312" s="4" t="s">
        <v>17</v>
      </c>
      <c r="E312" s="5">
        <v>0.40625</v>
      </c>
      <c r="F312" s="6">
        <v>11.25</v>
      </c>
      <c r="G312" s="4" t="s">
        <v>41</v>
      </c>
      <c r="H312" s="4" t="s">
        <v>19</v>
      </c>
      <c r="I312" s="4" t="s">
        <v>20</v>
      </c>
      <c r="J312" s="4" t="s">
        <v>27</v>
      </c>
      <c r="N312" s="3">
        <v>46031</v>
      </c>
      <c r="O312" s="4" t="s">
        <v>36</v>
      </c>
      <c r="P312" s="5">
        <v>0.40625</v>
      </c>
      <c r="Q312" s="7">
        <f t="shared" si="27"/>
        <v>0.875</v>
      </c>
      <c r="R312" s="6">
        <v>11.25</v>
      </c>
      <c r="S312" s="3">
        <v>46032</v>
      </c>
    </row>
    <row r="313" hidden="1" ht="15.75" customHeight="1">
      <c r="A313" s="3">
        <v>46031</v>
      </c>
      <c r="B313" s="4" t="s">
        <v>28</v>
      </c>
      <c r="C313" s="4" t="s">
        <v>29</v>
      </c>
      <c r="D313" s="4" t="s">
        <v>17</v>
      </c>
      <c r="E313" s="5">
        <v>0.41458333333333336</v>
      </c>
      <c r="F313" s="6">
        <v>12.01</v>
      </c>
      <c r="G313" s="4" t="s">
        <v>30</v>
      </c>
      <c r="H313" s="4" t="s">
        <v>19</v>
      </c>
      <c r="I313" s="4" t="s">
        <v>20</v>
      </c>
      <c r="J313" s="4" t="s">
        <v>31</v>
      </c>
      <c r="N313" s="3">
        <v>46031</v>
      </c>
      <c r="O313" s="4" t="s">
        <v>28</v>
      </c>
      <c r="P313" s="5">
        <v>0.41458333333333336</v>
      </c>
      <c r="Q313" s="7">
        <f t="shared" si="27"/>
        <v>0.91500000000000004</v>
      </c>
      <c r="R313" s="6">
        <v>12.01</v>
      </c>
      <c r="S313" s="3">
        <v>46032</v>
      </c>
    </row>
    <row r="314" hidden="1" ht="15.75" customHeight="1">
      <c r="A314" s="3">
        <v>46031</v>
      </c>
      <c r="B314" s="4" t="s">
        <v>32</v>
      </c>
      <c r="C314" s="4" t="s">
        <v>33</v>
      </c>
      <c r="D314" s="4" t="s">
        <v>17</v>
      </c>
      <c r="E314" s="5">
        <v>0.41944444444444445</v>
      </c>
      <c r="F314" s="6">
        <v>9.0099999999999998</v>
      </c>
      <c r="G314" s="4" t="s">
        <v>18</v>
      </c>
      <c r="H314" s="4" t="s">
        <v>19</v>
      </c>
      <c r="I314" s="4" t="s">
        <v>20</v>
      </c>
      <c r="J314" s="4" t="s">
        <v>21</v>
      </c>
      <c r="N314" s="3">
        <v>46031</v>
      </c>
      <c r="O314" s="4" t="s">
        <v>32</v>
      </c>
      <c r="P314" s="5">
        <v>0.41944444444444445</v>
      </c>
      <c r="Q314" s="7">
        <f t="shared" si="27"/>
        <v>0.79486111111111113</v>
      </c>
      <c r="R314" s="6">
        <v>9.0099999999999998</v>
      </c>
      <c r="S314" s="3">
        <v>46032</v>
      </c>
    </row>
    <row r="315" hidden="1" ht="15.75" customHeight="1">
      <c r="A315" s="3">
        <v>46031</v>
      </c>
      <c r="B315" s="4" t="s">
        <v>34</v>
      </c>
      <c r="C315" s="4" t="s">
        <v>35</v>
      </c>
      <c r="D315" s="4" t="s">
        <v>17</v>
      </c>
      <c r="E315" s="5">
        <v>0.4201388888888889</v>
      </c>
      <c r="F315" s="6">
        <v>9.0299999999999994</v>
      </c>
      <c r="G315" s="4" t="s">
        <v>18</v>
      </c>
      <c r="H315" s="4" t="s">
        <v>19</v>
      </c>
      <c r="I315" s="4" t="s">
        <v>20</v>
      </c>
      <c r="J315" s="4" t="s">
        <v>21</v>
      </c>
      <c r="N315" s="3">
        <v>46031</v>
      </c>
      <c r="O315" s="4" t="s">
        <v>34</v>
      </c>
      <c r="P315" s="5">
        <v>0.4201388888888889</v>
      </c>
      <c r="Q315" s="7">
        <f t="shared" si="27"/>
        <v>0.79638888888888881</v>
      </c>
      <c r="R315" s="6">
        <v>9.0299999999999994</v>
      </c>
      <c r="S315" s="3">
        <v>46032</v>
      </c>
    </row>
    <row r="316" hidden="1" ht="15.75" customHeight="1">
      <c r="A316" s="3">
        <v>46031</v>
      </c>
      <c r="B316" s="4" t="s">
        <v>39</v>
      </c>
      <c r="C316" s="4" t="s">
        <v>40</v>
      </c>
      <c r="D316" s="4" t="s">
        <v>17</v>
      </c>
      <c r="E316" s="5">
        <v>0.4201388888888889</v>
      </c>
      <c r="F316" s="6">
        <v>8.9800000000000004</v>
      </c>
      <c r="G316" s="4" t="s">
        <v>18</v>
      </c>
      <c r="H316" s="4" t="s">
        <v>19</v>
      </c>
      <c r="I316" s="4" t="s">
        <v>20</v>
      </c>
      <c r="J316" s="4" t="s">
        <v>21</v>
      </c>
      <c r="N316" s="3">
        <v>46031</v>
      </c>
      <c r="O316" s="4" t="s">
        <v>39</v>
      </c>
      <c r="P316" s="5">
        <v>0.4201388888888889</v>
      </c>
      <c r="Q316" s="7">
        <f t="shared" si="27"/>
        <v>0.7943055555555556</v>
      </c>
      <c r="R316" s="6">
        <v>8.9800000000000004</v>
      </c>
      <c r="S316" s="3">
        <v>46032</v>
      </c>
    </row>
    <row r="317" ht="15.75" customHeight="1">
      <c r="A317" s="3">
        <v>46031</v>
      </c>
      <c r="B317" s="4" t="s">
        <v>39</v>
      </c>
      <c r="C317" s="4" t="s">
        <v>40</v>
      </c>
      <c r="D317" s="4" t="s">
        <v>38</v>
      </c>
      <c r="E317" s="5">
        <v>0.7944444444444444</v>
      </c>
      <c r="F317" s="4"/>
      <c r="G317" s="4" t="s">
        <v>18</v>
      </c>
      <c r="H317" s="4" t="s">
        <v>19</v>
      </c>
      <c r="I317" s="4" t="s">
        <v>20</v>
      </c>
      <c r="J317" s="4" t="s">
        <v>21</v>
      </c>
    </row>
    <row r="318" ht="15.75" customHeight="1">
      <c r="A318" s="3">
        <v>46031</v>
      </c>
      <c r="B318" s="4" t="s">
        <v>32</v>
      </c>
      <c r="C318" s="4" t="s">
        <v>33</v>
      </c>
      <c r="D318" s="4" t="s">
        <v>38</v>
      </c>
      <c r="E318" s="5">
        <v>0.79513888888888884</v>
      </c>
      <c r="F318" s="4"/>
      <c r="G318" s="4" t="s">
        <v>18</v>
      </c>
      <c r="H318" s="4" t="s">
        <v>19</v>
      </c>
      <c r="I318" s="4" t="s">
        <v>20</v>
      </c>
      <c r="J318" s="4" t="s">
        <v>21</v>
      </c>
    </row>
    <row r="319" ht="15.75" customHeight="1">
      <c r="A319" s="3">
        <v>46031</v>
      </c>
      <c r="B319" s="4" t="s">
        <v>22</v>
      </c>
      <c r="C319" s="4" t="s">
        <v>23</v>
      </c>
      <c r="D319" s="4" t="s">
        <v>38</v>
      </c>
      <c r="E319" s="5">
        <v>0.79583333333333328</v>
      </c>
      <c r="F319" s="4"/>
      <c r="G319" s="4" t="s">
        <v>18</v>
      </c>
      <c r="H319" s="4" t="s">
        <v>19</v>
      </c>
      <c r="I319" s="4" t="s">
        <v>20</v>
      </c>
      <c r="J319" s="4" t="s">
        <v>21</v>
      </c>
    </row>
    <row r="320" ht="15.75" customHeight="1">
      <c r="A320" s="3">
        <v>46031</v>
      </c>
      <c r="B320" s="4" t="s">
        <v>15</v>
      </c>
      <c r="C320" s="4" t="s">
        <v>16</v>
      </c>
      <c r="D320" s="4" t="s">
        <v>38</v>
      </c>
      <c r="E320" s="5">
        <v>0.79652777777777772</v>
      </c>
      <c r="F320" s="4"/>
      <c r="G320" s="4" t="s">
        <v>18</v>
      </c>
      <c r="H320" s="4" t="s">
        <v>19</v>
      </c>
      <c r="I320" s="4" t="s">
        <v>20</v>
      </c>
      <c r="J320" s="4" t="s">
        <v>21</v>
      </c>
    </row>
    <row r="321" ht="15.75" customHeight="1">
      <c r="A321" s="3">
        <v>46031</v>
      </c>
      <c r="B321" s="4" t="s">
        <v>34</v>
      </c>
      <c r="C321" s="4" t="s">
        <v>35</v>
      </c>
      <c r="D321" s="4" t="s">
        <v>38</v>
      </c>
      <c r="E321" s="5">
        <v>0.79652777777777772</v>
      </c>
      <c r="F321" s="4"/>
      <c r="G321" s="4" t="s">
        <v>18</v>
      </c>
      <c r="H321" s="4" t="s">
        <v>19</v>
      </c>
      <c r="I321" s="4" t="s">
        <v>20</v>
      </c>
      <c r="J321" s="4" t="s">
        <v>21</v>
      </c>
    </row>
    <row r="322" hidden="1" ht="15.75" customHeight="1">
      <c r="A322" s="3">
        <v>46031</v>
      </c>
      <c r="B322" s="4" t="s">
        <v>32</v>
      </c>
      <c r="C322" s="4" t="s">
        <v>33</v>
      </c>
      <c r="D322" s="4" t="s">
        <v>17</v>
      </c>
      <c r="E322" s="5">
        <v>0.79722222222222228</v>
      </c>
      <c r="F322" s="6">
        <v>0</v>
      </c>
      <c r="G322" s="4" t="s">
        <v>18</v>
      </c>
      <c r="H322" s="4" t="s">
        <v>19</v>
      </c>
      <c r="I322" s="4" t="s">
        <v>20</v>
      </c>
      <c r="J322" s="4" t="s">
        <v>21</v>
      </c>
      <c r="N322" s="3">
        <v>46031</v>
      </c>
      <c r="O322" s="4" t="s">
        <v>32</v>
      </c>
      <c r="P322" s="5">
        <v>0.79722222222222228</v>
      </c>
      <c r="Q322" s="7">
        <f>P322 + (R322 / 24)</f>
        <v>0.79722222222222228</v>
      </c>
      <c r="R322" s="6">
        <v>0</v>
      </c>
      <c r="S322" s="3">
        <v>46032</v>
      </c>
    </row>
    <row r="323" ht="15.75" customHeight="1">
      <c r="A323" s="3">
        <v>46031</v>
      </c>
      <c r="B323" s="4" t="s">
        <v>32</v>
      </c>
      <c r="C323" s="4" t="s">
        <v>33</v>
      </c>
      <c r="D323" s="4" t="s">
        <v>38</v>
      </c>
      <c r="E323" s="5">
        <v>0.79722222222222228</v>
      </c>
      <c r="F323" s="4"/>
      <c r="G323" s="4" t="s">
        <v>18</v>
      </c>
      <c r="H323" s="4" t="s">
        <v>19</v>
      </c>
      <c r="I323" s="4" t="s">
        <v>20</v>
      </c>
      <c r="J323" s="4" t="s">
        <v>21</v>
      </c>
    </row>
    <row r="324" ht="15.75" customHeight="1">
      <c r="A324" s="3">
        <v>46031</v>
      </c>
      <c r="B324" s="4" t="s">
        <v>36</v>
      </c>
      <c r="C324" s="4" t="s">
        <v>37</v>
      </c>
      <c r="D324" s="4" t="s">
        <v>38</v>
      </c>
      <c r="E324" s="5">
        <v>0.875</v>
      </c>
      <c r="F324" s="4"/>
      <c r="G324" s="4" t="s">
        <v>41</v>
      </c>
      <c r="H324" s="4" t="s">
        <v>19</v>
      </c>
      <c r="I324" s="4"/>
      <c r="J324" s="4" t="s">
        <v>27</v>
      </c>
    </row>
    <row r="325" ht="15.75" customHeight="1">
      <c r="A325" s="3">
        <v>46031</v>
      </c>
      <c r="B325" s="4" t="s">
        <v>28</v>
      </c>
      <c r="C325" s="4" t="s">
        <v>29</v>
      </c>
      <c r="D325" s="4" t="s">
        <v>38</v>
      </c>
      <c r="E325" s="5">
        <v>0.91527777777777775</v>
      </c>
      <c r="F325" s="4"/>
      <c r="G325" s="4" t="s">
        <v>30</v>
      </c>
      <c r="H325" s="4" t="s">
        <v>19</v>
      </c>
      <c r="I325" s="4" t="s">
        <v>20</v>
      </c>
      <c r="J325" s="4" t="s">
        <v>31</v>
      </c>
    </row>
    <row r="326" hidden="1" ht="15.75" customHeight="1">
      <c r="A326" s="3">
        <v>46032</v>
      </c>
      <c r="B326" s="4" t="s">
        <v>22</v>
      </c>
      <c r="C326" s="4" t="s">
        <v>23</v>
      </c>
      <c r="D326" s="4" t="s">
        <v>17</v>
      </c>
      <c r="E326" s="5">
        <v>0.38541666666666669</v>
      </c>
      <c r="F326" s="6">
        <v>9.8100000000000005</v>
      </c>
      <c r="G326" s="4" t="s">
        <v>18</v>
      </c>
      <c r="H326" s="4" t="s">
        <v>19</v>
      </c>
      <c r="I326" s="4" t="s">
        <v>20</v>
      </c>
      <c r="J326" s="4" t="s">
        <v>21</v>
      </c>
      <c r="N326" s="3">
        <v>46032</v>
      </c>
      <c r="O326" s="4" t="s">
        <v>22</v>
      </c>
      <c r="P326" s="5">
        <v>0.38541666666666669</v>
      </c>
      <c r="Q326" s="7">
        <f t="shared" ref="Q326:Q332" si="28">P326 + (R326 / 24)</f>
        <v>0.79416666666666669</v>
      </c>
      <c r="R326" s="6">
        <v>9.8100000000000005</v>
      </c>
      <c r="S326" s="3">
        <v>46032</v>
      </c>
    </row>
    <row r="327" hidden="1" ht="15.75" customHeight="1">
      <c r="A327" s="3">
        <v>46032</v>
      </c>
      <c r="B327" s="4" t="s">
        <v>15</v>
      </c>
      <c r="C327" s="4" t="s">
        <v>16</v>
      </c>
      <c r="D327" s="4" t="s">
        <v>17</v>
      </c>
      <c r="E327" s="5">
        <v>0.40208333333333335</v>
      </c>
      <c r="F327" s="6">
        <v>9.4000000000000004</v>
      </c>
      <c r="G327" s="4" t="s">
        <v>18</v>
      </c>
      <c r="H327" s="4" t="s">
        <v>19</v>
      </c>
      <c r="I327" s="4" t="s">
        <v>20</v>
      </c>
      <c r="J327" s="4" t="s">
        <v>21</v>
      </c>
      <c r="N327" s="3">
        <v>46032</v>
      </c>
      <c r="O327" s="4" t="s">
        <v>15</v>
      </c>
      <c r="P327" s="5">
        <v>0.40208333333333335</v>
      </c>
      <c r="Q327" s="7">
        <f t="shared" si="28"/>
        <v>0.79374999999999996</v>
      </c>
      <c r="R327" s="6">
        <v>9.4000000000000004</v>
      </c>
    </row>
    <row r="328" hidden="1" ht="15.75" customHeight="1">
      <c r="A328" s="3">
        <v>46032</v>
      </c>
      <c r="B328" s="4" t="s">
        <v>24</v>
      </c>
      <c r="C328" s="4" t="s">
        <v>25</v>
      </c>
      <c r="D328" s="4" t="s">
        <v>17</v>
      </c>
      <c r="E328" s="5">
        <v>0.40902777777777777</v>
      </c>
      <c r="F328" s="6">
        <v>11.27</v>
      </c>
      <c r="G328" s="4" t="s">
        <v>26</v>
      </c>
      <c r="H328" s="4" t="s">
        <v>19</v>
      </c>
      <c r="I328" s="4" t="s">
        <v>20</v>
      </c>
      <c r="J328" s="4" t="s">
        <v>27</v>
      </c>
      <c r="N328" s="3">
        <v>46032</v>
      </c>
      <c r="O328" s="4" t="s">
        <v>24</v>
      </c>
      <c r="P328" s="5">
        <v>0.40902777777777777</v>
      </c>
      <c r="Q328" s="7">
        <f t="shared" si="28"/>
        <v>0.87861111111111101</v>
      </c>
      <c r="R328" s="6">
        <v>11.27</v>
      </c>
    </row>
    <row r="329" hidden="1" ht="15.75" customHeight="1">
      <c r="A329" s="3">
        <v>46032</v>
      </c>
      <c r="B329" s="4" t="s">
        <v>28</v>
      </c>
      <c r="C329" s="4" t="s">
        <v>29</v>
      </c>
      <c r="D329" s="4" t="s">
        <v>17</v>
      </c>
      <c r="E329" s="5">
        <v>0.41319444444444442</v>
      </c>
      <c r="F329" s="6">
        <v>12.050000000000001</v>
      </c>
      <c r="G329" s="4" t="s">
        <v>30</v>
      </c>
      <c r="H329" s="4" t="s">
        <v>19</v>
      </c>
      <c r="I329" s="4" t="s">
        <v>20</v>
      </c>
      <c r="J329" s="4" t="s">
        <v>31</v>
      </c>
      <c r="N329" s="3">
        <v>46032</v>
      </c>
      <c r="O329" s="4" t="s">
        <v>28</v>
      </c>
      <c r="P329" s="5">
        <v>0.41319444444444442</v>
      </c>
      <c r="Q329" s="7">
        <f t="shared" si="28"/>
        <v>0.91527777777777775</v>
      </c>
      <c r="R329" s="6">
        <v>12.050000000000001</v>
      </c>
    </row>
    <row r="330" hidden="1" ht="15.75" customHeight="1">
      <c r="A330" s="3">
        <v>46032</v>
      </c>
      <c r="B330" s="4" t="s">
        <v>32</v>
      </c>
      <c r="C330" s="4" t="s">
        <v>33</v>
      </c>
      <c r="D330" s="4" t="s">
        <v>17</v>
      </c>
      <c r="E330" s="5">
        <v>0.43680555555555556</v>
      </c>
      <c r="F330" s="6">
        <v>8.5600000000000005</v>
      </c>
      <c r="G330" s="4" t="s">
        <v>18</v>
      </c>
      <c r="H330" s="4" t="s">
        <v>19</v>
      </c>
      <c r="I330" s="4" t="s">
        <v>20</v>
      </c>
      <c r="J330" s="4" t="s">
        <v>21</v>
      </c>
      <c r="N330" s="3">
        <v>46032</v>
      </c>
      <c r="O330" s="4" t="s">
        <v>32</v>
      </c>
      <c r="P330" s="5">
        <v>0.43680555555555556</v>
      </c>
      <c r="Q330" s="7">
        <f t="shared" si="28"/>
        <v>0.79347222222222225</v>
      </c>
      <c r="R330" s="6">
        <v>8.5600000000000005</v>
      </c>
    </row>
    <row r="331" hidden="1" ht="15.75" customHeight="1">
      <c r="A331" s="3">
        <v>46032</v>
      </c>
      <c r="B331" s="4" t="s">
        <v>39</v>
      </c>
      <c r="C331" s="4" t="s">
        <v>40</v>
      </c>
      <c r="D331" s="4" t="s">
        <v>17</v>
      </c>
      <c r="E331" s="5">
        <v>0.4548611111111111</v>
      </c>
      <c r="F331" s="6">
        <v>11.58</v>
      </c>
      <c r="G331" s="4" t="s">
        <v>18</v>
      </c>
      <c r="H331" s="4" t="s">
        <v>19</v>
      </c>
      <c r="I331" s="4" t="s">
        <v>20</v>
      </c>
      <c r="J331" s="4" t="s">
        <v>21</v>
      </c>
      <c r="N331" s="3">
        <v>46032</v>
      </c>
      <c r="O331" s="4" t="s">
        <v>39</v>
      </c>
      <c r="P331" s="5">
        <v>0.4548611111111111</v>
      </c>
      <c r="Q331" s="7">
        <f t="shared" si="28"/>
        <v>0.93736111111111109</v>
      </c>
      <c r="R331" s="6">
        <v>11.58</v>
      </c>
    </row>
    <row r="332" hidden="1" ht="15.75" customHeight="1">
      <c r="A332" s="3">
        <v>46032</v>
      </c>
      <c r="B332" s="4" t="s">
        <v>36</v>
      </c>
      <c r="C332" s="4" t="s">
        <v>37</v>
      </c>
      <c r="D332" s="4" t="s">
        <v>17</v>
      </c>
      <c r="E332" s="5">
        <v>0.46736111111111112</v>
      </c>
      <c r="F332" s="6">
        <v>6.5300000000000002</v>
      </c>
      <c r="G332" s="4" t="s">
        <v>18</v>
      </c>
      <c r="H332" s="4" t="s">
        <v>19</v>
      </c>
      <c r="I332" s="4" t="s">
        <v>20</v>
      </c>
      <c r="J332" s="4" t="s">
        <v>21</v>
      </c>
      <c r="N332" s="3">
        <v>46032</v>
      </c>
      <c r="O332" s="4" t="s">
        <v>36</v>
      </c>
      <c r="P332" s="5">
        <v>0.46736111111111112</v>
      </c>
      <c r="Q332" s="7">
        <f t="shared" si="28"/>
        <v>0.73944444444444446</v>
      </c>
      <c r="R332" s="6">
        <v>6.5300000000000002</v>
      </c>
    </row>
    <row r="333" ht="15.75" customHeight="1">
      <c r="A333" s="3">
        <v>46032</v>
      </c>
      <c r="B333" s="4" t="s">
        <v>36</v>
      </c>
      <c r="C333" s="4" t="s">
        <v>37</v>
      </c>
      <c r="D333" s="4" t="s">
        <v>38</v>
      </c>
      <c r="E333" s="5">
        <v>0.73888888888888893</v>
      </c>
      <c r="F333" s="4"/>
      <c r="G333" s="4" t="s">
        <v>18</v>
      </c>
      <c r="H333" s="4" t="s">
        <v>19</v>
      </c>
      <c r="I333" s="4" t="s">
        <v>20</v>
      </c>
      <c r="J333" s="4" t="s">
        <v>21</v>
      </c>
    </row>
    <row r="334" ht="15.75" customHeight="1">
      <c r="A334" s="3">
        <v>46032</v>
      </c>
      <c r="B334" s="4" t="s">
        <v>15</v>
      </c>
      <c r="C334" s="4" t="s">
        <v>16</v>
      </c>
      <c r="D334" s="4" t="s">
        <v>38</v>
      </c>
      <c r="E334" s="5">
        <v>0.79374999999999996</v>
      </c>
      <c r="F334" s="4"/>
      <c r="G334" s="4" t="s">
        <v>18</v>
      </c>
      <c r="H334" s="4" t="s">
        <v>19</v>
      </c>
      <c r="I334" s="4" t="s">
        <v>20</v>
      </c>
      <c r="J334" s="4" t="s">
        <v>21</v>
      </c>
    </row>
    <row r="335" ht="15.75" customHeight="1">
      <c r="A335" s="3">
        <v>46032</v>
      </c>
      <c r="B335" s="4" t="s">
        <v>32</v>
      </c>
      <c r="C335" s="4" t="s">
        <v>33</v>
      </c>
      <c r="D335" s="4" t="s">
        <v>38</v>
      </c>
      <c r="E335" s="5">
        <v>0.79374999999999996</v>
      </c>
      <c r="F335" s="4"/>
      <c r="G335" s="4" t="s">
        <v>18</v>
      </c>
      <c r="H335" s="4" t="s">
        <v>19</v>
      </c>
      <c r="I335" s="4" t="s">
        <v>20</v>
      </c>
      <c r="J335" s="4" t="s">
        <v>21</v>
      </c>
    </row>
    <row r="336" ht="15.75" customHeight="1">
      <c r="A336" s="3">
        <v>46032</v>
      </c>
      <c r="B336" s="4" t="s">
        <v>22</v>
      </c>
      <c r="C336" s="4" t="s">
        <v>23</v>
      </c>
      <c r="D336" s="4" t="s">
        <v>38</v>
      </c>
      <c r="E336" s="5">
        <v>0.7944444444444444</v>
      </c>
      <c r="F336" s="4"/>
      <c r="G336" s="4" t="s">
        <v>18</v>
      </c>
      <c r="H336" s="4" t="s">
        <v>19</v>
      </c>
      <c r="I336" s="4" t="s">
        <v>20</v>
      </c>
      <c r="J336" s="4" t="s">
        <v>21</v>
      </c>
    </row>
    <row r="337" ht="15.75" customHeight="1">
      <c r="A337" s="3">
        <v>46032</v>
      </c>
      <c r="B337" s="4" t="s">
        <v>24</v>
      </c>
      <c r="C337" s="4" t="s">
        <v>25</v>
      </c>
      <c r="D337" s="4" t="s">
        <v>38</v>
      </c>
      <c r="E337" s="5">
        <v>0.87847222222222221</v>
      </c>
      <c r="F337" s="4"/>
      <c r="G337" s="4" t="s">
        <v>26</v>
      </c>
      <c r="H337" s="4" t="s">
        <v>19</v>
      </c>
      <c r="I337" s="4" t="s">
        <v>20</v>
      </c>
      <c r="J337" s="4" t="s">
        <v>27</v>
      </c>
    </row>
    <row r="338" ht="15.75" customHeight="1">
      <c r="A338" s="3">
        <v>46032</v>
      </c>
      <c r="B338" s="4" t="s">
        <v>28</v>
      </c>
      <c r="C338" s="4" t="s">
        <v>29</v>
      </c>
      <c r="D338" s="4" t="s">
        <v>38</v>
      </c>
      <c r="E338" s="5">
        <v>0.91597222222222219</v>
      </c>
      <c r="F338" s="4"/>
      <c r="G338" s="4" t="s">
        <v>30</v>
      </c>
      <c r="H338" s="4" t="s">
        <v>19</v>
      </c>
      <c r="I338" s="4" t="s">
        <v>20</v>
      </c>
      <c r="J338" s="4" t="s">
        <v>31</v>
      </c>
    </row>
    <row r="339" ht="15.75" customHeight="1">
      <c r="A339" s="3">
        <v>46032</v>
      </c>
      <c r="B339" s="4" t="s">
        <v>39</v>
      </c>
      <c r="C339" s="4" t="s">
        <v>40</v>
      </c>
      <c r="D339" s="4" t="s">
        <v>38</v>
      </c>
      <c r="E339" s="5">
        <v>0.9375</v>
      </c>
      <c r="F339" s="4"/>
      <c r="G339" s="4"/>
      <c r="H339" s="4" t="s">
        <v>19</v>
      </c>
      <c r="I339" s="4"/>
      <c r="J339" s="4"/>
    </row>
  </sheetData>
  <autoFilter ref="$A$1:$J$339">
    <filterColumn colId="3">
      <filters>
        <filter val="Out"/>
      </filters>
    </filterColumn>
  </autoFilter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>
      <selection activeCell="I2" sqref="I1:I1048576"/>
    </sheetView>
  </sheetViews>
  <sheetFormatPr defaultColWidth="12.57031" defaultRowHeight="15.75" customHeight="1"/>
  <cols>
    <col min="1" max="1" width="24.28516" customWidth="1"/>
    <col min="3" max="3" width="14.42578" customWidth="1"/>
  </cols>
  <sheetData>
    <row r="1" ht="15.75" customHeight="1">
      <c r="A1" s="8"/>
      <c r="B1" s="9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H1" s="10" t="s">
        <v>42</v>
      </c>
      <c r="I1" s="10"/>
    </row>
    <row r="2" ht="15.75" customHeight="1">
      <c r="A2" s="3" t="str">
        <f t="shared" ref="A2:A169" si="0">CONCATENATE(C2, " ", B2)</f>
        <v>Lorenzo Castillo 12/11/2025</v>
      </c>
      <c r="B2" s="11" t="s">
        <v>43</v>
      </c>
      <c r="C2" s="4" t="s">
        <v>15</v>
      </c>
      <c r="D2" s="5">
        <v>0.37291666666666667</v>
      </c>
      <c r="E2" s="7">
        <f>D2 + (F2 / 24)</f>
        <v>0.80083333333333329</v>
      </c>
      <c r="F2" s="6">
        <v>10.27</v>
      </c>
      <c r="H2" s="7">
        <f>VLOOKUP(A2, Sheet3!$A:$E, 5, FALSE)</f>
        <v>0.80069444444444449</v>
      </c>
      <c r="I2" s="12" t="b">
        <f t="shared" ref="I2:I169" si="1">TEXT(H2, "hh:mm") = TEXT(E2, "hh:mm")</f>
        <v>1</v>
      </c>
      <c r="J2" s="12"/>
      <c r="K2" s="12"/>
      <c r="L2"/>
    </row>
    <row r="3" ht="15.75" customHeight="1">
      <c r="A3" s="3" t="str">
        <f t="shared" si="0"/>
        <v>Javier Morales 12/11/2025</v>
      </c>
      <c r="B3" s="11" t="s">
        <v>43</v>
      </c>
      <c r="C3" s="4" t="s">
        <v>22</v>
      </c>
      <c r="D3" s="5">
        <v>0.39513888888888887</v>
      </c>
      <c r="E3" s="7">
        <f t="shared" ref="E3:E169" si="2">D3 + (F3 / 24)</f>
        <v>0.80305555555555552</v>
      </c>
      <c r="F3" s="6">
        <v>9.7899999999999991</v>
      </c>
      <c r="H3" s="7">
        <f>VLOOKUP(A3, Sheet3!$A:$E, 5, FALSE)</f>
        <v>0.80277777777777781</v>
      </c>
      <c r="I3" s="12" t="b">
        <f t="shared" si="1"/>
        <v>1</v>
      </c>
      <c r="J3" s="12"/>
      <c r="K3" s="12"/>
    </row>
    <row r="4" ht="15.75" customHeight="1">
      <c r="A4" s="3" t="str">
        <f t="shared" si="0"/>
        <v>Gabrielle Santos 12/11/2025</v>
      </c>
      <c r="B4" s="11" t="s">
        <v>43</v>
      </c>
      <c r="C4" s="4" t="s">
        <v>24</v>
      </c>
      <c r="D4" s="5">
        <v>0.41458333333333336</v>
      </c>
      <c r="E4" s="7">
        <f t="shared" si="2"/>
        <v>0.91791666666666671</v>
      </c>
      <c r="F4" s="6">
        <v>12.08</v>
      </c>
      <c r="H4" s="7">
        <f>VLOOKUP(A4, Sheet3!$A:$E, 5, FALSE)</f>
        <v>0.91736111111111107</v>
      </c>
      <c r="I4" s="12" t="b">
        <f t="shared" si="1"/>
        <v>1</v>
      </c>
      <c r="J4" s="12"/>
      <c r="K4" s="12"/>
    </row>
    <row r="5" ht="15.75" customHeight="1">
      <c r="A5" s="3" t="str">
        <f t="shared" si="0"/>
        <v>Adrian Velasco 12/11/2025</v>
      </c>
      <c r="B5" s="11" t="s">
        <v>43</v>
      </c>
      <c r="C5" s="4" t="s">
        <v>28</v>
      </c>
      <c r="D5" s="5">
        <v>0.41458333333333336</v>
      </c>
      <c r="E5" s="7">
        <f t="shared" si="2"/>
        <v>0.91916666666666669</v>
      </c>
      <c r="F5" s="6">
        <v>12.109999999999999</v>
      </c>
      <c r="H5" s="7">
        <f>VLOOKUP(A5, Sheet3!$A:$E, 5, FALSE)</f>
        <v>0.9194444444444444</v>
      </c>
      <c r="I5" s="12" t="b">
        <f t="shared" si="1"/>
        <v>0</v>
      </c>
      <c r="J5" s="12"/>
      <c r="K5" s="12"/>
    </row>
    <row r="6" ht="15.75" customHeight="1">
      <c r="A6" s="3" t="str">
        <f t="shared" si="0"/>
        <v>Miguel Santoro 12/11/2025</v>
      </c>
      <c r="B6" s="11" t="s">
        <v>43</v>
      </c>
      <c r="C6" s="4" t="s">
        <v>32</v>
      </c>
      <c r="D6" s="5">
        <v>0.41597222222222224</v>
      </c>
      <c r="E6" s="7">
        <f t="shared" si="2"/>
        <v>0.80138888888888893</v>
      </c>
      <c r="F6" s="6">
        <v>9.25</v>
      </c>
      <c r="H6" s="7">
        <f>VLOOKUP(A6, Sheet3!$A:$E, 5, FALSE)</f>
        <v>0.80138888888888893</v>
      </c>
      <c r="I6" s="12" t="b">
        <f t="shared" si="1"/>
        <v>1</v>
      </c>
      <c r="J6" s="12"/>
      <c r="K6" s="12"/>
    </row>
    <row r="7" ht="15.75" customHeight="1">
      <c r="A7" s="3" t="str">
        <f t="shared" si="0"/>
        <v>Daniel Alvarez 12/11/2025</v>
      </c>
      <c r="B7" s="11" t="s">
        <v>43</v>
      </c>
      <c r="C7" s="4" t="s">
        <v>34</v>
      </c>
      <c r="D7" s="5">
        <v>0.42222222222222222</v>
      </c>
      <c r="E7" s="7">
        <f t="shared" si="2"/>
        <v>0.80722222222222229</v>
      </c>
      <c r="F7" s="6">
        <v>9.2400000000000002</v>
      </c>
      <c r="H7" s="7">
        <f>VLOOKUP(A7, Sheet3!$A:$E, 5, FALSE)</f>
        <v>0.80694444444444446</v>
      </c>
      <c r="I7" s="12" t="b">
        <f t="shared" si="1"/>
        <v>1</v>
      </c>
      <c r="J7" s="12"/>
      <c r="K7" s="12"/>
    </row>
    <row r="8" ht="15.75" customHeight="1">
      <c r="A8" s="3" t="str">
        <f t="shared" si="0"/>
        <v>Sophia Delgado 12/11/2025</v>
      </c>
      <c r="B8" s="11" t="s">
        <v>43</v>
      </c>
      <c r="C8" s="4" t="s">
        <v>36</v>
      </c>
      <c r="D8" s="5">
        <v>0.42638888888888887</v>
      </c>
      <c r="E8" s="7">
        <f t="shared" si="2"/>
        <v>0.80222222222222217</v>
      </c>
      <c r="F8" s="6">
        <v>9.0199999999999996</v>
      </c>
      <c r="H8" s="7">
        <f>VLOOKUP(A8, Sheet3!$A:$E, 5, FALSE)</f>
        <v>0.80208333333333337</v>
      </c>
      <c r="I8" s="12" t="b">
        <f t="shared" si="1"/>
        <v>1</v>
      </c>
      <c r="J8" s="12"/>
      <c r="K8" s="12"/>
    </row>
    <row r="9" ht="15.75" customHeight="1">
      <c r="A9" s="3" t="str">
        <f t="shared" si="0"/>
        <v>Lorenzo Castillo 12/12/2025</v>
      </c>
      <c r="B9" s="11" t="s">
        <v>44</v>
      </c>
      <c r="C9" s="4" t="s">
        <v>15</v>
      </c>
      <c r="D9" s="5">
        <v>0.37361111111111112</v>
      </c>
      <c r="E9" s="7">
        <f t="shared" si="2"/>
        <v>0.79361111111111104</v>
      </c>
      <c r="F9" s="6">
        <v>10.08</v>
      </c>
      <c r="H9" s="7">
        <f>VLOOKUP(A9, Sheet3!$A:$E, 5, FALSE)</f>
        <v>0.79305555555555551</v>
      </c>
      <c r="I9" s="12" t="b">
        <f t="shared" si="1"/>
        <v>1</v>
      </c>
      <c r="J9" s="12"/>
      <c r="K9" s="12"/>
    </row>
    <row r="10" ht="15.75" customHeight="1">
      <c r="A10" s="3" t="str">
        <f t="shared" si="0"/>
        <v>Javier Morales 12/12/2025</v>
      </c>
      <c r="B10" s="11" t="s">
        <v>44</v>
      </c>
      <c r="C10" s="4" t="s">
        <v>22</v>
      </c>
      <c r="D10" s="5">
        <v>0.38750000000000001</v>
      </c>
      <c r="E10" s="7">
        <f t="shared" si="2"/>
        <v>0.79374999999999996</v>
      </c>
      <c r="F10" s="6">
        <v>9.75</v>
      </c>
      <c r="H10" s="7">
        <f>VLOOKUP(A10, Sheet3!$A:$E, 5, FALSE)</f>
        <v>0.79374999999999996</v>
      </c>
      <c r="I10" s="12" t="b">
        <f t="shared" si="1"/>
        <v>1</v>
      </c>
      <c r="J10" s="12"/>
      <c r="K10" s="12"/>
    </row>
    <row r="11" ht="15.75" customHeight="1">
      <c r="A11" s="3" t="str">
        <f t="shared" si="0"/>
        <v>Adrian Velasco 12/12/2025</v>
      </c>
      <c r="B11" s="11" t="s">
        <v>44</v>
      </c>
      <c r="C11" s="4" t="s">
        <v>28</v>
      </c>
      <c r="D11" s="5">
        <v>0.41041666666666665</v>
      </c>
      <c r="E11" s="7">
        <f t="shared" si="2"/>
        <v>0.91874999999999996</v>
      </c>
      <c r="F11" s="6">
        <v>12.199999999999999</v>
      </c>
      <c r="H11" s="7">
        <f>VLOOKUP(A11, Sheet3!$A:$E, 5, FALSE)</f>
        <v>0.9194444444444444</v>
      </c>
      <c r="I11" s="12" t="b">
        <f t="shared" si="1"/>
        <v>0</v>
      </c>
      <c r="J11" s="12"/>
      <c r="K11" s="12"/>
    </row>
    <row r="12" ht="15.75" customHeight="1">
      <c r="A12" s="3" t="str">
        <f t="shared" si="0"/>
        <v>Camila Torres 12/12/2025</v>
      </c>
      <c r="B12" s="11" t="s">
        <v>44</v>
      </c>
      <c r="C12" s="4" t="s">
        <v>39</v>
      </c>
      <c r="D12" s="5">
        <v>0.4152777777777778</v>
      </c>
      <c r="E12" s="7">
        <f t="shared" si="2"/>
        <v>0.7927777777777778</v>
      </c>
      <c r="F12" s="6">
        <v>9.0600000000000005</v>
      </c>
      <c r="H12" s="7">
        <f>VLOOKUP(A12, Sheet3!$A:$E, 5, FALSE)</f>
        <v>0.79236111111111107</v>
      </c>
      <c r="I12" s="12" t="b">
        <f t="shared" si="1"/>
        <v>1</v>
      </c>
      <c r="J12" s="12"/>
      <c r="K12" s="12"/>
    </row>
    <row r="13" ht="15.75" customHeight="1">
      <c r="A13" s="3" t="str">
        <f t="shared" si="0"/>
        <v>Gabrielle Santos 12/12/2025</v>
      </c>
      <c r="B13" s="11" t="s">
        <v>44</v>
      </c>
      <c r="C13" s="4" t="s">
        <v>24</v>
      </c>
      <c r="D13" s="5">
        <v>0.41666666666666669</v>
      </c>
      <c r="E13" s="7">
        <f t="shared" si="2"/>
        <v>0.91999999999999993</v>
      </c>
      <c r="F13" s="6">
        <v>12.08</v>
      </c>
      <c r="H13" s="7">
        <f>VLOOKUP(A13, Sheet3!$A:$E, 5, FALSE)</f>
        <v>0.92013888888888884</v>
      </c>
      <c r="I13" s="12" t="b">
        <f t="shared" si="1"/>
        <v>0</v>
      </c>
      <c r="J13" s="12"/>
      <c r="K13" s="12"/>
    </row>
    <row r="14" ht="15.75" customHeight="1">
      <c r="A14" s="3" t="str">
        <f t="shared" si="0"/>
        <v>Sophia Delgado 12/12/2025</v>
      </c>
      <c r="B14" s="11" t="s">
        <v>44</v>
      </c>
      <c r="C14" s="4" t="s">
        <v>36</v>
      </c>
      <c r="D14" s="5">
        <v>0.42152777777777778</v>
      </c>
      <c r="E14" s="7">
        <f t="shared" si="2"/>
        <v>0.7927777777777778</v>
      </c>
      <c r="F14" s="6">
        <v>8.9100000000000001</v>
      </c>
      <c r="H14" s="7">
        <f>VLOOKUP(A14, Sheet3!$A:$E, 5, FALSE)</f>
        <v>0.79305555555555551</v>
      </c>
      <c r="I14" s="12" t="b">
        <f t="shared" si="1"/>
        <v>0</v>
      </c>
      <c r="J14" s="12"/>
      <c r="K14" s="12"/>
    </row>
    <row r="15" ht="15.75" customHeight="1">
      <c r="A15" s="3" t="str">
        <f t="shared" si="0"/>
        <v>Daniel Alvarez 12/12/2025</v>
      </c>
      <c r="B15" s="11" t="s">
        <v>44</v>
      </c>
      <c r="C15" s="4" t="s">
        <v>34</v>
      </c>
      <c r="D15" s="5">
        <v>0.43055555555555558</v>
      </c>
      <c r="E15" s="7">
        <f t="shared" si="2"/>
        <v>0.79347222222222236</v>
      </c>
      <c r="F15" s="6">
        <v>8.7100000000000009</v>
      </c>
      <c r="H15" s="7">
        <f>VLOOKUP(A15, Sheet3!$A:$E, 5, FALSE)</f>
        <v>0.79374999999999996</v>
      </c>
      <c r="I15" s="12" t="b">
        <f t="shared" si="1"/>
        <v>0</v>
      </c>
      <c r="J15" s="12"/>
      <c r="K15" s="12"/>
    </row>
    <row r="16" ht="15.75" customHeight="1">
      <c r="A16" s="3" t="str">
        <f t="shared" si="0"/>
        <v>Lorenzo Castillo 12/13/2025</v>
      </c>
      <c r="B16" s="11" t="s">
        <v>45</v>
      </c>
      <c r="C16" s="4" t="s">
        <v>15</v>
      </c>
      <c r="D16" s="5">
        <v>0.375</v>
      </c>
      <c r="E16" s="7">
        <f t="shared" si="2"/>
        <v>0.79374999999999996</v>
      </c>
      <c r="F16" s="6">
        <v>10.050000000000001</v>
      </c>
      <c r="H16" s="7">
        <f>VLOOKUP(A16, Sheet3!$A:$E, 5, FALSE)</f>
        <v>0.79374999999999996</v>
      </c>
      <c r="I16" s="12" t="b">
        <f t="shared" si="1"/>
        <v>1</v>
      </c>
      <c r="J16" s="12"/>
      <c r="K16" s="12"/>
    </row>
    <row r="17" ht="15.75" customHeight="1">
      <c r="A17" s="3" t="str">
        <f t="shared" si="0"/>
        <v>Javier Morales 12/13/2025</v>
      </c>
      <c r="B17" s="11" t="s">
        <v>45</v>
      </c>
      <c r="C17" s="4" t="s">
        <v>22</v>
      </c>
      <c r="D17" s="5">
        <v>0.39930555555555558</v>
      </c>
      <c r="E17" s="7">
        <f t="shared" si="2"/>
        <v>0.93722222222222229</v>
      </c>
      <c r="F17" s="6">
        <v>12.91</v>
      </c>
      <c r="H17" s="7">
        <f>VLOOKUP(A17, Sheet3!$A:$E, 5, FALSE)</f>
        <v>0.9375</v>
      </c>
      <c r="I17" s="12" t="b">
        <f t="shared" si="1"/>
        <v>0</v>
      </c>
      <c r="J17" s="12"/>
      <c r="K17" s="12"/>
    </row>
    <row r="18" ht="15.75" customHeight="1">
      <c r="A18" s="3" t="str">
        <f t="shared" si="0"/>
        <v>Miguel Santoro 12/13/2025</v>
      </c>
      <c r="B18" s="11" t="s">
        <v>45</v>
      </c>
      <c r="C18" s="4" t="s">
        <v>32</v>
      </c>
      <c r="D18" s="5">
        <v>0.40000000000000002</v>
      </c>
      <c r="E18" s="7">
        <f t="shared" si="2"/>
        <v>0.79249999999999998</v>
      </c>
      <c r="F18" s="6">
        <v>9.4199999999999999</v>
      </c>
      <c r="H18" s="7">
        <f>VLOOKUP(A18, Sheet3!$A:$E, 5, FALSE)</f>
        <v>0.79236111111111107</v>
      </c>
      <c r="I18" s="12" t="b">
        <f t="shared" si="1"/>
        <v>1</v>
      </c>
      <c r="J18" s="12"/>
      <c r="K18" s="12"/>
    </row>
    <row r="19" ht="15.75" customHeight="1">
      <c r="A19" s="3" t="str">
        <f t="shared" si="0"/>
        <v>Gabrielle Santos 12/13/2025</v>
      </c>
      <c r="B19" s="11" t="s">
        <v>45</v>
      </c>
      <c r="C19" s="4" t="s">
        <v>24</v>
      </c>
      <c r="D19" s="5">
        <v>0.41111111111111109</v>
      </c>
      <c r="E19" s="7">
        <f t="shared" si="2"/>
        <v>0.91861111111111104</v>
      </c>
      <c r="F19" s="6">
        <v>12.18</v>
      </c>
      <c r="H19" s="7">
        <f>VLOOKUP(A19, Sheet3!$A:$E, 5, FALSE)</f>
        <v>0.91874999999999996</v>
      </c>
      <c r="I19" s="12" t="b">
        <f t="shared" si="1"/>
        <v>0</v>
      </c>
      <c r="J19" s="12"/>
      <c r="K19" s="12"/>
    </row>
    <row r="20" ht="15.75" customHeight="1">
      <c r="A20" s="3" t="str">
        <f t="shared" si="0"/>
        <v>Adrian Velasco 12/13/2025</v>
      </c>
      <c r="B20" s="11" t="s">
        <v>45</v>
      </c>
      <c r="C20" s="4" t="s">
        <v>28</v>
      </c>
      <c r="D20" s="5">
        <v>0.41249999999999998</v>
      </c>
      <c r="E20" s="7">
        <f t="shared" si="2"/>
        <v>0.91749999999999998</v>
      </c>
      <c r="F20" s="6">
        <v>12.119999999999999</v>
      </c>
      <c r="H20" s="7">
        <f>VLOOKUP(A20, Sheet3!$A:$E, 5, FALSE)</f>
        <v>0.91736111111111107</v>
      </c>
      <c r="I20" s="12" t="b">
        <f t="shared" si="1"/>
        <v>1</v>
      </c>
      <c r="J20" s="12"/>
      <c r="K20" s="12"/>
    </row>
    <row r="21" ht="15.75" customHeight="1">
      <c r="A21" s="3" t="str">
        <f t="shared" si="0"/>
        <v>Sophia Delgado 12/13/2025</v>
      </c>
      <c r="B21" s="11" t="s">
        <v>45</v>
      </c>
      <c r="C21" s="4" t="s">
        <v>36</v>
      </c>
      <c r="D21" s="5">
        <v>0.42499999999999999</v>
      </c>
      <c r="E21" s="7">
        <f t="shared" si="2"/>
        <v>0.66083333333333338</v>
      </c>
      <c r="F21" s="6">
        <v>5.6600000000000001</v>
      </c>
      <c r="H21" s="7">
        <f>VLOOKUP(A21, Sheet3!$A:$E, 5, FALSE)</f>
        <v>0.66111111111111109</v>
      </c>
      <c r="I21" s="12" t="b">
        <f t="shared" si="1"/>
        <v>0</v>
      </c>
      <c r="J21" s="12"/>
      <c r="K21" s="12"/>
    </row>
    <row r="22" ht="15.75" customHeight="1">
      <c r="A22" s="3" t="str">
        <f t="shared" si="0"/>
        <v>Lorenzo Castillo 12/14/2025</v>
      </c>
      <c r="B22" s="11" t="s">
        <v>46</v>
      </c>
      <c r="C22" s="4" t="s">
        <v>15</v>
      </c>
      <c r="D22" s="5">
        <v>0.37083333333333335</v>
      </c>
      <c r="E22" s="7">
        <f t="shared" si="2"/>
        <v>0.79625000000000012</v>
      </c>
      <c r="F22" s="6">
        <v>10.210000000000001</v>
      </c>
      <c r="H22" s="7">
        <f>VLOOKUP(A22, Sheet3!$A:$E, 5, FALSE)</f>
        <v>0.79583333333333328</v>
      </c>
      <c r="I22" s="12" t="b">
        <f t="shared" si="1"/>
        <v>1</v>
      </c>
      <c r="J22" s="12"/>
      <c r="K22" s="12"/>
    </row>
    <row r="23" ht="15.75" customHeight="1">
      <c r="A23" s="3" t="str">
        <f t="shared" si="0"/>
        <v>Javier Morales 12/14/2025</v>
      </c>
      <c r="B23" s="11" t="s">
        <v>46</v>
      </c>
      <c r="C23" s="4" t="s">
        <v>22</v>
      </c>
      <c r="D23" s="5">
        <v>0.39374999999999999</v>
      </c>
      <c r="E23" s="7">
        <f t="shared" si="2"/>
        <v>0.80000000000000004</v>
      </c>
      <c r="F23" s="6">
        <v>9.75</v>
      </c>
      <c r="H23" s="7">
        <f>VLOOKUP(A23, Sheet3!$A:$E, 5, FALSE)</f>
        <v>0.80000000000000004</v>
      </c>
      <c r="I23" s="12" t="b">
        <f t="shared" si="1"/>
        <v>1</v>
      </c>
      <c r="J23" s="12"/>
      <c r="K23" s="12"/>
    </row>
    <row r="24" ht="15.75" customHeight="1">
      <c r="A24" s="3" t="str">
        <f t="shared" si="0"/>
        <v>Miguel Santoro 12/14/2025</v>
      </c>
      <c r="B24" s="11" t="s">
        <v>46</v>
      </c>
      <c r="C24" s="4" t="s">
        <v>32</v>
      </c>
      <c r="D24" s="5">
        <v>0.41111111111111109</v>
      </c>
      <c r="E24" s="7">
        <f t="shared" si="2"/>
        <v>0.79527777777777775</v>
      </c>
      <c r="F24" s="6">
        <v>9.2200000000000006</v>
      </c>
      <c r="H24" s="7">
        <f>VLOOKUP(A24, Sheet3!$A:$E, 5, FALSE)</f>
        <v>0.79513888888888884</v>
      </c>
      <c r="I24" s="12" t="b">
        <f t="shared" si="1"/>
        <v>1</v>
      </c>
      <c r="J24" s="12"/>
      <c r="K24" s="12"/>
    </row>
    <row r="25" ht="15.75" customHeight="1">
      <c r="A25" s="3" t="str">
        <f t="shared" si="0"/>
        <v>Gabrielle Santos 12/14/2025</v>
      </c>
      <c r="B25" s="11" t="s">
        <v>46</v>
      </c>
      <c r="C25" s="4" t="s">
        <v>24</v>
      </c>
      <c r="D25" s="5">
        <v>0.41319444444444442</v>
      </c>
      <c r="E25" s="7">
        <f t="shared" si="2"/>
        <v>0.91694444444444445</v>
      </c>
      <c r="F25" s="6">
        <v>12.09</v>
      </c>
      <c r="H25" s="7">
        <f>VLOOKUP(A25, Sheet3!$A:$E, 5, FALSE)</f>
        <v>0.91666666666666663</v>
      </c>
      <c r="I25" s="12" t="b">
        <f t="shared" si="1"/>
        <v>1</v>
      </c>
      <c r="J25" s="12"/>
      <c r="K25" s="12"/>
    </row>
    <row r="26" ht="15.75" customHeight="1">
      <c r="A26" s="3" t="str">
        <f t="shared" si="0"/>
        <v>Adrian Velasco 12/14/2025</v>
      </c>
      <c r="B26" s="11" t="s">
        <v>46</v>
      </c>
      <c r="C26" s="4" t="s">
        <v>28</v>
      </c>
      <c r="D26" s="5">
        <v>0.41388888888888886</v>
      </c>
      <c r="E26" s="7">
        <f t="shared" si="2"/>
        <v>0.91680555555555554</v>
      </c>
      <c r="F26" s="6">
        <v>12.07</v>
      </c>
      <c r="H26" s="7">
        <f>VLOOKUP(A26, Sheet3!$A:$E, 5, FALSE)</f>
        <v>0.91666666666666663</v>
      </c>
      <c r="I26" s="12" t="b">
        <f t="shared" si="1"/>
        <v>1</v>
      </c>
      <c r="J26" s="12"/>
      <c r="K26" s="12"/>
    </row>
    <row r="27" ht="15.75" customHeight="1">
      <c r="A27" s="3" t="str">
        <f t="shared" si="0"/>
        <v>Camila Torres 12/14/2025</v>
      </c>
      <c r="B27" s="11" t="s">
        <v>46</v>
      </c>
      <c r="C27" s="4" t="s">
        <v>39</v>
      </c>
      <c r="D27" s="5">
        <v>0.41458333333333336</v>
      </c>
      <c r="E27" s="7">
        <f t="shared" si="2"/>
        <v>0.9375</v>
      </c>
      <c r="F27" s="6">
        <v>12.550000000000001</v>
      </c>
      <c r="H27" s="7">
        <f>VLOOKUP(A27, Sheet3!$A:$E, 5, FALSE)</f>
        <v>0.9375</v>
      </c>
      <c r="I27" s="12" t="b">
        <f t="shared" si="1"/>
        <v>1</v>
      </c>
      <c r="J27" s="12"/>
      <c r="K27" s="12"/>
    </row>
    <row r="28" ht="15.75" customHeight="1">
      <c r="A28" s="3" t="str">
        <f t="shared" si="0"/>
        <v>Lorenzo Castillo 12/15/2025</v>
      </c>
      <c r="B28" s="11" t="s">
        <v>47</v>
      </c>
      <c r="C28" s="4" t="s">
        <v>15</v>
      </c>
      <c r="D28" s="5">
        <v>0.375</v>
      </c>
      <c r="E28" s="7">
        <f t="shared" si="2"/>
        <v>0.7975000000000001</v>
      </c>
      <c r="F28" s="6">
        <v>10.140000000000001</v>
      </c>
      <c r="H28" s="7">
        <f>VLOOKUP(A28, Sheet3!$A:$E, 5, FALSE)</f>
        <v>0.79791666666666672</v>
      </c>
      <c r="I28" s="12" t="b">
        <f t="shared" si="1"/>
        <v>0</v>
      </c>
      <c r="J28" s="12"/>
      <c r="K28" s="12"/>
    </row>
    <row r="29" ht="15.75" customHeight="1">
      <c r="A29" s="3" t="str">
        <f t="shared" si="0"/>
        <v>Javier Morales 12/15/2025</v>
      </c>
      <c r="B29" s="11" t="s">
        <v>47</v>
      </c>
      <c r="C29" s="4" t="s">
        <v>22</v>
      </c>
      <c r="D29" s="5">
        <v>0.39652777777777776</v>
      </c>
      <c r="E29" s="7">
        <f t="shared" si="2"/>
        <v>0.79402777777777778</v>
      </c>
      <c r="F29" s="6">
        <v>9.5399999999999991</v>
      </c>
      <c r="H29" s="7">
        <f>VLOOKUP(A29, Sheet3!$A:$E, 5, FALSE)</f>
        <v>0.79374999999999996</v>
      </c>
      <c r="I29" s="12" t="b">
        <f t="shared" si="1"/>
        <v>1</v>
      </c>
      <c r="J29" s="12"/>
      <c r="K29" s="12"/>
    </row>
    <row r="30" ht="15.75" customHeight="1">
      <c r="A30" s="3" t="str">
        <f t="shared" si="0"/>
        <v>Gabrielle Santos 12/15/2025</v>
      </c>
      <c r="B30" s="11" t="s">
        <v>47</v>
      </c>
      <c r="C30" s="4" t="s">
        <v>24</v>
      </c>
      <c r="D30" s="5">
        <v>0.41249999999999998</v>
      </c>
      <c r="E30" s="7">
        <f t="shared" si="2"/>
        <v>0.91708333333333325</v>
      </c>
      <c r="F30" s="6">
        <v>12.109999999999999</v>
      </c>
      <c r="H30" s="7">
        <f>VLOOKUP(A30, Sheet3!$A:$E, 5, FALSE)</f>
        <v>0.91666666666666663</v>
      </c>
      <c r="I30" s="12" t="b">
        <f t="shared" si="1"/>
        <v>1</v>
      </c>
      <c r="J30" s="12"/>
      <c r="K30" s="12"/>
    </row>
    <row r="31" ht="15.75" customHeight="1">
      <c r="A31" s="3" t="str">
        <f t="shared" si="0"/>
        <v>Adrian Velasco 12/15/2025</v>
      </c>
      <c r="B31" s="11" t="s">
        <v>47</v>
      </c>
      <c r="C31" s="4" t="s">
        <v>28</v>
      </c>
      <c r="D31" s="5">
        <v>0.41388888888888886</v>
      </c>
      <c r="E31" s="7">
        <f t="shared" si="2"/>
        <v>0.92388888888888887</v>
      </c>
      <c r="F31" s="6">
        <v>12.24</v>
      </c>
      <c r="H31" s="7">
        <f>VLOOKUP(A31, Sheet3!$A:$E, 5, FALSE)</f>
        <v>0.9243055555555556</v>
      </c>
      <c r="I31" s="12" t="b">
        <f t="shared" si="1"/>
        <v>0</v>
      </c>
      <c r="J31" s="12"/>
      <c r="K31" s="12"/>
    </row>
    <row r="32" ht="15.75" customHeight="1">
      <c r="A32" s="3" t="str">
        <f t="shared" si="0"/>
        <v>Camila Torres 12/15/2025</v>
      </c>
      <c r="B32" s="11" t="s">
        <v>47</v>
      </c>
      <c r="C32" s="4" t="s">
        <v>39</v>
      </c>
      <c r="D32" s="5">
        <v>0.41736111111111113</v>
      </c>
      <c r="E32" s="7">
        <f t="shared" si="2"/>
        <v>0.79319444444444442</v>
      </c>
      <c r="F32" s="6">
        <v>9.0199999999999996</v>
      </c>
      <c r="H32" s="7">
        <f>VLOOKUP(A32, Sheet3!$A:$E, 5, FALSE)</f>
        <v>0.79305555555555551</v>
      </c>
      <c r="I32" s="12" t="b">
        <f t="shared" si="1"/>
        <v>1</v>
      </c>
      <c r="J32" s="12"/>
      <c r="K32" s="12"/>
    </row>
    <row r="33" ht="15.75" customHeight="1">
      <c r="A33" s="3" t="str">
        <f t="shared" si="0"/>
        <v>Sophia Delgado 12/15/2025</v>
      </c>
      <c r="B33" s="11" t="s">
        <v>47</v>
      </c>
      <c r="C33" s="4" t="s">
        <v>36</v>
      </c>
      <c r="D33" s="5">
        <v>0.42708333333333331</v>
      </c>
      <c r="E33" s="7">
        <f t="shared" si="2"/>
        <v>0.79458333333333331</v>
      </c>
      <c r="F33" s="6">
        <v>8.8200000000000003</v>
      </c>
      <c r="H33" s="7">
        <f>VLOOKUP(A33, Sheet3!$A:$E, 5, FALSE)</f>
        <v>0.7944444444444444</v>
      </c>
      <c r="I33" s="12" t="b">
        <f t="shared" si="1"/>
        <v>1</v>
      </c>
      <c r="J33" s="12"/>
      <c r="K33" s="12"/>
    </row>
    <row r="34" ht="15.75" customHeight="1">
      <c r="A34" s="3" t="str">
        <f t="shared" si="0"/>
        <v>Daniel Alvarez 12/15/2025</v>
      </c>
      <c r="B34" s="11" t="s">
        <v>47</v>
      </c>
      <c r="C34" s="4" t="s">
        <v>34</v>
      </c>
      <c r="D34" s="5">
        <v>0.43125000000000002</v>
      </c>
      <c r="E34" s="7">
        <f t="shared" si="2"/>
        <v>0.79916666666666669</v>
      </c>
      <c r="F34" s="6">
        <v>8.8300000000000001</v>
      </c>
      <c r="H34" s="7">
        <f>VLOOKUP(A34, Sheet3!$A:$E, 5, FALSE)</f>
        <v>0.7993055555555556</v>
      </c>
      <c r="I34" s="12" t="b">
        <f t="shared" si="1"/>
        <v>0</v>
      </c>
      <c r="J34" s="12"/>
      <c r="K34" s="12"/>
    </row>
    <row r="35" ht="15.75" customHeight="1">
      <c r="A35" s="3" t="str">
        <f t="shared" si="0"/>
        <v>Miguel Santoro 12/15/2025</v>
      </c>
      <c r="B35" s="11" t="s">
        <v>47</v>
      </c>
      <c r="C35" s="4" t="s">
        <v>32</v>
      </c>
      <c r="D35" s="5">
        <v>0.43819444444444444</v>
      </c>
      <c r="E35" s="7">
        <f t="shared" si="2"/>
        <v>0.79402777777777778</v>
      </c>
      <c r="F35" s="6">
        <v>8.5399999999999991</v>
      </c>
      <c r="H35" s="7">
        <f>VLOOKUP(A35, Sheet3!$A:$E, 5, FALSE)</f>
        <v>0.7944444444444444</v>
      </c>
      <c r="I35" s="12" t="b">
        <f t="shared" si="1"/>
        <v>0</v>
      </c>
      <c r="J35" s="12"/>
      <c r="K35" s="12"/>
    </row>
    <row r="36" ht="15.75" customHeight="1">
      <c r="A36" s="3" t="str">
        <f t="shared" si="0"/>
        <v>Lorenzo Castillo 12/16/2025</v>
      </c>
      <c r="B36" s="11" t="s">
        <v>48</v>
      </c>
      <c r="C36" s="4" t="s">
        <v>15</v>
      </c>
      <c r="D36" s="5">
        <v>0.37361111111111112</v>
      </c>
      <c r="E36" s="7">
        <f t="shared" si="2"/>
        <v>0.79444444444444451</v>
      </c>
      <c r="F36" s="6">
        <v>10.1</v>
      </c>
      <c r="H36" s="7">
        <f>VLOOKUP(A36, Sheet3!$A:$E, 5, FALSE)</f>
        <v>0.79513888888888884</v>
      </c>
      <c r="I36" s="12" t="b">
        <f t="shared" si="1"/>
        <v>0</v>
      </c>
      <c r="J36" s="12"/>
      <c r="K36" s="12"/>
    </row>
    <row r="37" ht="15.75" customHeight="1">
      <c r="A37" s="3" t="str">
        <f t="shared" si="0"/>
        <v>Javier Morales 12/16/2025</v>
      </c>
      <c r="B37" s="11" t="s">
        <v>48</v>
      </c>
      <c r="C37" s="4" t="s">
        <v>22</v>
      </c>
      <c r="D37" s="5">
        <v>0.38680555555555557</v>
      </c>
      <c r="E37" s="7">
        <f t="shared" si="2"/>
        <v>0.93680555555555545</v>
      </c>
      <c r="F37" s="6">
        <v>13.199999999999999</v>
      </c>
      <c r="H37" s="7">
        <f>VLOOKUP(A37, Sheet3!$A:$E, 5, FALSE)</f>
        <v>0.9375</v>
      </c>
      <c r="I37" s="12" t="b">
        <f t="shared" si="1"/>
        <v>0</v>
      </c>
      <c r="J37" s="12"/>
      <c r="K37" s="12"/>
    </row>
    <row r="38" ht="15.75" customHeight="1">
      <c r="A38" s="3" t="str">
        <f t="shared" si="0"/>
        <v>Gabrielle Santos 12/16/2025</v>
      </c>
      <c r="B38" s="11" t="s">
        <v>48</v>
      </c>
      <c r="C38" s="4" t="s">
        <v>24</v>
      </c>
      <c r="D38" s="5">
        <v>0.39930555555555558</v>
      </c>
      <c r="E38" s="7">
        <f t="shared" si="2"/>
        <v>0.91638888888888892</v>
      </c>
      <c r="F38" s="6">
        <v>12.41</v>
      </c>
      <c r="H38" s="7">
        <f>VLOOKUP(A38, Sheet3!$A:$E, 5, FALSE)</f>
        <v>0.91666666666666663</v>
      </c>
      <c r="I38" s="12" t="b">
        <f t="shared" si="1"/>
        <v>0</v>
      </c>
      <c r="J38" s="12"/>
      <c r="K38" s="12"/>
    </row>
    <row r="39" ht="15.75" customHeight="1">
      <c r="A39" s="3" t="str">
        <f t="shared" si="0"/>
        <v>Sophia Delgado 12/16/2025</v>
      </c>
      <c r="B39" s="11" t="s">
        <v>48</v>
      </c>
      <c r="C39" s="4" t="s">
        <v>36</v>
      </c>
      <c r="D39" s="5">
        <v>0.41736111111111113</v>
      </c>
      <c r="E39" s="7">
        <f t="shared" si="2"/>
        <v>0.79402777777777778</v>
      </c>
      <c r="F39" s="6">
        <v>9.0399999999999991</v>
      </c>
      <c r="H39" s="7">
        <f>VLOOKUP(A39, Sheet3!$A:$E, 5, FALSE)</f>
        <v>0.7944444444444444</v>
      </c>
      <c r="I39" s="12" t="b">
        <f t="shared" si="1"/>
        <v>0</v>
      </c>
      <c r="J39" s="12"/>
      <c r="K39" s="12"/>
    </row>
    <row r="40" ht="15.75" customHeight="1">
      <c r="A40" s="3" t="str">
        <f t="shared" si="0"/>
        <v>Daniel Alvarez 12/16/2025</v>
      </c>
      <c r="B40" s="11" t="s">
        <v>48</v>
      </c>
      <c r="C40" s="4" t="s">
        <v>34</v>
      </c>
      <c r="D40" s="5">
        <v>0.42291666666666666</v>
      </c>
      <c r="E40" s="7">
        <f t="shared" si="2"/>
        <v>0.79416666666666669</v>
      </c>
      <c r="F40" s="6">
        <v>8.9100000000000001</v>
      </c>
      <c r="H40" s="7">
        <f>VLOOKUP(A40, Sheet3!$A:$E, 5, FALSE)</f>
        <v>0.79374999999999996</v>
      </c>
      <c r="I40" s="12" t="b">
        <f t="shared" si="1"/>
        <v>1</v>
      </c>
      <c r="J40" s="12"/>
      <c r="K40" s="12"/>
    </row>
    <row r="41" ht="15.75" customHeight="1">
      <c r="A41" s="3" t="str">
        <f t="shared" si="0"/>
        <v>Camila Torres 12/16/2025</v>
      </c>
      <c r="B41" s="11" t="s">
        <v>48</v>
      </c>
      <c r="C41" s="4" t="s">
        <v>39</v>
      </c>
      <c r="D41" s="5">
        <v>0.4465277777777778</v>
      </c>
      <c r="E41" s="7">
        <f t="shared" si="2"/>
        <v>0.79486111111111113</v>
      </c>
      <c r="F41" s="6">
        <v>8.3599999999999994</v>
      </c>
      <c r="H41" s="7">
        <f>VLOOKUP(A41, Sheet3!$A:$E, 5, FALSE)</f>
        <v>0.79513888888888884</v>
      </c>
      <c r="I41" s="12" t="b">
        <f t="shared" si="1"/>
        <v>0</v>
      </c>
      <c r="J41" s="12"/>
      <c r="K41" s="12"/>
    </row>
    <row r="42" ht="15.75" customHeight="1">
      <c r="A42" s="3" t="str">
        <f t="shared" si="0"/>
        <v>Javier Morales 12/17/2025</v>
      </c>
      <c r="B42" s="11" t="s">
        <v>49</v>
      </c>
      <c r="C42" s="4" t="s">
        <v>22</v>
      </c>
      <c r="D42" s="5">
        <v>0.39444444444444443</v>
      </c>
      <c r="E42" s="7">
        <f t="shared" si="2"/>
        <v>0.79986111111111113</v>
      </c>
      <c r="F42" s="6">
        <v>9.7300000000000004</v>
      </c>
      <c r="H42" s="7">
        <f>VLOOKUP(A42, Sheet3!$A:$E, 5, FALSE)</f>
        <v>0.7993055555555556</v>
      </c>
      <c r="I42" s="12" t="b">
        <f t="shared" si="1"/>
        <v>1</v>
      </c>
      <c r="J42" s="12"/>
      <c r="K42" s="12"/>
    </row>
    <row r="43" ht="15.75" customHeight="1">
      <c r="A43" s="3" t="str">
        <f t="shared" si="0"/>
        <v>Gabrielle Santos 12/17/2025</v>
      </c>
      <c r="B43" s="11" t="s">
        <v>49</v>
      </c>
      <c r="C43" s="4" t="s">
        <v>24</v>
      </c>
      <c r="D43" s="5">
        <v>0.41249999999999998</v>
      </c>
      <c r="E43" s="7">
        <f t="shared" si="2"/>
        <v>0.93124999999999991</v>
      </c>
      <c r="F43" s="6">
        <v>12.449999999999999</v>
      </c>
      <c r="H43" s="7">
        <f>VLOOKUP(A43, Sheet3!$A:$E, 5, FALSE)</f>
        <v>0.93125000000000002</v>
      </c>
      <c r="I43" s="12" t="b">
        <f t="shared" si="1"/>
        <v>1</v>
      </c>
      <c r="J43" s="12"/>
      <c r="K43" s="12"/>
    </row>
    <row r="44" ht="15.75" customHeight="1">
      <c r="A44" s="3" t="str">
        <f t="shared" si="0"/>
        <v>Sophia Delgado 12/17/2025</v>
      </c>
      <c r="B44" s="11" t="s">
        <v>49</v>
      </c>
      <c r="C44" s="4" t="s">
        <v>36</v>
      </c>
      <c r="D44" s="5">
        <v>0.41319444444444442</v>
      </c>
      <c r="E44" s="7">
        <f t="shared" si="2"/>
        <v>0.93736111111111109</v>
      </c>
      <c r="F44" s="6">
        <v>12.58</v>
      </c>
      <c r="H44" s="7">
        <f>VLOOKUP(A44, Sheet3!$A:$E, 5, FALSE)</f>
        <v>0.9375</v>
      </c>
      <c r="I44" s="12" t="b">
        <f t="shared" si="1"/>
        <v>0</v>
      </c>
      <c r="J44" s="12"/>
      <c r="K44" s="12"/>
    </row>
    <row r="45" ht="15.75" customHeight="1">
      <c r="A45" s="3" t="str">
        <f t="shared" si="0"/>
        <v>Camila Torres 12/17/2025</v>
      </c>
      <c r="B45" s="11" t="s">
        <v>49</v>
      </c>
      <c r="C45" s="4" t="s">
        <v>39</v>
      </c>
      <c r="D45" s="5">
        <v>0.42916666666666664</v>
      </c>
      <c r="E45" s="7">
        <f t="shared" si="2"/>
        <v>0.79749999999999999</v>
      </c>
      <c r="F45" s="6">
        <v>8.8399999999999999</v>
      </c>
      <c r="H45" s="7">
        <f>VLOOKUP(A45, Sheet3!$A:$E, 5, FALSE)</f>
        <v>0.79791666666666672</v>
      </c>
      <c r="I45" s="12" t="b">
        <f t="shared" si="1"/>
        <v>0</v>
      </c>
      <c r="J45" s="12"/>
      <c r="K45" s="12"/>
    </row>
    <row r="46" ht="15.75" customHeight="1">
      <c r="A46" s="3" t="str">
        <f t="shared" si="0"/>
        <v>Daniel Alvarez 12/17/2025</v>
      </c>
      <c r="B46" s="11" t="s">
        <v>49</v>
      </c>
      <c r="C46" s="4" t="s">
        <v>34</v>
      </c>
      <c r="D46" s="5">
        <v>0.42986111111111114</v>
      </c>
      <c r="E46" s="7">
        <f t="shared" si="2"/>
        <v>0.79861111111111116</v>
      </c>
      <c r="F46" s="6">
        <v>8.8499999999999996</v>
      </c>
      <c r="H46" s="7">
        <f>VLOOKUP(A46, Sheet3!$A:$E, 5, FALSE)</f>
        <v>0.79861111111111116</v>
      </c>
      <c r="I46" s="12" t="b">
        <f t="shared" si="1"/>
        <v>1</v>
      </c>
      <c r="J46" s="12"/>
      <c r="K46" s="12"/>
    </row>
    <row r="47" ht="15.75" customHeight="1">
      <c r="A47" s="3" t="str">
        <f t="shared" si="0"/>
        <v>Adrian Velasco 12/17/2025</v>
      </c>
      <c r="B47" s="11" t="s">
        <v>49</v>
      </c>
      <c r="C47" s="4" t="s">
        <v>28</v>
      </c>
      <c r="D47" s="5">
        <v>0.4548611111111111</v>
      </c>
      <c r="E47" s="7">
        <f t="shared" si="2"/>
        <v>0.9161111111111111</v>
      </c>
      <c r="F47" s="6">
        <v>11.07</v>
      </c>
      <c r="H47" s="7">
        <f>VLOOKUP(A47, Sheet3!$A:$E, 5, FALSE)</f>
        <v>0.91666666666666663</v>
      </c>
      <c r="I47" s="12" t="b">
        <f t="shared" si="1"/>
        <v>0</v>
      </c>
      <c r="J47" s="12"/>
      <c r="K47" s="12"/>
    </row>
    <row r="48" ht="15.75" customHeight="1">
      <c r="A48" s="3" t="str">
        <f t="shared" si="0"/>
        <v>Lorenzo Castillo 12/18/2025</v>
      </c>
      <c r="B48" s="11" t="s">
        <v>50</v>
      </c>
      <c r="C48" s="4" t="s">
        <v>15</v>
      </c>
      <c r="D48" s="5">
        <v>0.37013888888888891</v>
      </c>
      <c r="E48" s="7">
        <f t="shared" si="2"/>
        <v>0.79513888888888884</v>
      </c>
      <c r="F48" s="6">
        <v>10.199999999999999</v>
      </c>
      <c r="H48" s="7">
        <f>VLOOKUP(A48, Sheet3!$A:$E, 5, FALSE)</f>
        <v>0.79513888888888884</v>
      </c>
      <c r="I48" s="12" t="b">
        <f t="shared" si="1"/>
        <v>1</v>
      </c>
      <c r="J48" s="12"/>
      <c r="K48" s="12"/>
    </row>
    <row r="49" ht="15.75" customHeight="1">
      <c r="A49" s="3" t="str">
        <f t="shared" si="0"/>
        <v>Gabrielle Santos 12/18/2025</v>
      </c>
      <c r="B49" s="11" t="s">
        <v>50</v>
      </c>
      <c r="C49" s="4" t="s">
        <v>24</v>
      </c>
      <c r="D49" s="5">
        <v>0.41249999999999998</v>
      </c>
      <c r="E49" s="7">
        <f t="shared" si="2"/>
        <v>0.91708333333333325</v>
      </c>
      <c r="F49" s="6">
        <v>12.109999999999999</v>
      </c>
      <c r="H49" s="7">
        <f>VLOOKUP(A49, Sheet3!$A:$E, 5, FALSE)</f>
        <v>0.91736111111111107</v>
      </c>
      <c r="I49" s="12" t="b">
        <f t="shared" si="1"/>
        <v>0</v>
      </c>
      <c r="J49" s="12"/>
      <c r="K49" s="12"/>
    </row>
    <row r="50" ht="15.75" customHeight="1">
      <c r="A50" s="3" t="str">
        <f t="shared" si="0"/>
        <v>Adrian Velasco 12/18/2025</v>
      </c>
      <c r="B50" s="11" t="s">
        <v>50</v>
      </c>
      <c r="C50" s="4" t="s">
        <v>28</v>
      </c>
      <c r="D50" s="5">
        <v>0.41388888888888886</v>
      </c>
      <c r="E50" s="7">
        <f t="shared" si="2"/>
        <v>0.91555555555555546</v>
      </c>
      <c r="F50" s="6">
        <v>12.039999999999999</v>
      </c>
      <c r="H50" s="7">
        <f>VLOOKUP(A50, Sheet3!$A:$E, 5, FALSE)</f>
        <v>0.91597222222222219</v>
      </c>
      <c r="I50" s="12" t="b">
        <f t="shared" si="1"/>
        <v>0</v>
      </c>
      <c r="J50" s="12"/>
      <c r="K50" s="12"/>
    </row>
    <row r="51" ht="15.75" customHeight="1">
      <c r="A51" s="3" t="str">
        <f t="shared" si="0"/>
        <v>Miguel Santoro 12/18/2025</v>
      </c>
      <c r="B51" s="11" t="s">
        <v>50</v>
      </c>
      <c r="C51" s="4" t="s">
        <v>32</v>
      </c>
      <c r="D51" s="5">
        <v>0.4201388888888889</v>
      </c>
      <c r="E51" s="7">
        <f t="shared" si="2"/>
        <v>0.79388888888888887</v>
      </c>
      <c r="F51" s="6">
        <v>8.9700000000000006</v>
      </c>
      <c r="H51" s="7">
        <f>VLOOKUP(A51, Sheet3!$A:$E, 5, FALSE)</f>
        <v>0.79374999999999996</v>
      </c>
      <c r="I51" s="12" t="b">
        <f t="shared" si="1"/>
        <v>1</v>
      </c>
      <c r="J51" s="12"/>
      <c r="K51" s="12"/>
    </row>
    <row r="52" ht="15.75" customHeight="1">
      <c r="A52" s="3" t="str">
        <f t="shared" si="0"/>
        <v>Daniel Alvarez 12/18/2025</v>
      </c>
      <c r="B52" s="11" t="s">
        <v>50</v>
      </c>
      <c r="C52" s="4" t="s">
        <v>34</v>
      </c>
      <c r="D52" s="5">
        <v>0.4284722222222222</v>
      </c>
      <c r="E52" s="7">
        <f t="shared" si="2"/>
        <v>0.79305555555555551</v>
      </c>
      <c r="F52" s="6">
        <v>8.75</v>
      </c>
      <c r="H52" s="7">
        <f>VLOOKUP(A52, Sheet3!$A:$E, 5, FALSE)</f>
        <v>0.79305555555555551</v>
      </c>
      <c r="I52" s="12" t="b">
        <f t="shared" si="1"/>
        <v>1</v>
      </c>
      <c r="J52" s="12"/>
      <c r="K52" s="12"/>
    </row>
    <row r="53" ht="15.75" customHeight="1">
      <c r="A53" s="3" t="str">
        <f t="shared" si="0"/>
        <v>Sophia Delgado 12/18/2025</v>
      </c>
      <c r="B53" s="11" t="s">
        <v>50</v>
      </c>
      <c r="C53" s="4" t="s">
        <v>36</v>
      </c>
      <c r="D53" s="5">
        <v>0.48680555555555555</v>
      </c>
      <c r="E53" s="7">
        <f t="shared" si="2"/>
        <v>0.79680555555555554</v>
      </c>
      <c r="F53" s="6">
        <v>7.4400000000000004</v>
      </c>
      <c r="H53" s="7">
        <f>VLOOKUP(A53, Sheet3!$A:$E, 5, FALSE)</f>
        <v>0.79652777777777772</v>
      </c>
      <c r="I53" s="12" t="b">
        <f t="shared" si="1"/>
        <v>1</v>
      </c>
      <c r="J53" s="12"/>
      <c r="K53" s="12"/>
    </row>
    <row r="54" ht="15.75" customHeight="1">
      <c r="A54" s="3" t="str">
        <f t="shared" si="0"/>
        <v>Lorenzo Castillo 12/19/2025</v>
      </c>
      <c r="B54" s="11" t="s">
        <v>51</v>
      </c>
      <c r="C54" s="4" t="s">
        <v>15</v>
      </c>
      <c r="D54" s="5">
        <v>0.37430555555555556</v>
      </c>
      <c r="E54" s="7">
        <f t="shared" si="2"/>
        <v>0.79513888888888884</v>
      </c>
      <c r="F54" s="6">
        <v>10.1</v>
      </c>
      <c r="H54" s="7">
        <f>VLOOKUP(A54, Sheet3!$A:$E, 5, FALSE)</f>
        <v>0.79513888888888884</v>
      </c>
      <c r="I54" s="12" t="b">
        <f t="shared" si="1"/>
        <v>1</v>
      </c>
      <c r="J54" s="12"/>
      <c r="K54" s="12"/>
    </row>
    <row r="55" ht="15.75" customHeight="1">
      <c r="A55" s="3" t="str">
        <f t="shared" si="0"/>
        <v>Javier Morales 12/19/2025</v>
      </c>
      <c r="B55" s="11" t="s">
        <v>51</v>
      </c>
      <c r="C55" s="4" t="s">
        <v>22</v>
      </c>
      <c r="D55" s="5">
        <v>0.37777777777777777</v>
      </c>
      <c r="E55" s="7">
        <f t="shared" si="2"/>
        <v>0.9177777777777778</v>
      </c>
      <c r="F55" s="6">
        <v>12.960000000000001</v>
      </c>
      <c r="H55" s="7">
        <f>VLOOKUP(A55, Sheet3!$A:$E, 5, FALSE)</f>
        <v>0.91805555555555551</v>
      </c>
      <c r="I55" s="12" t="b">
        <f t="shared" si="1"/>
        <v>0</v>
      </c>
      <c r="J55" s="12"/>
      <c r="K55" s="12"/>
    </row>
    <row r="56" ht="15.75" customHeight="1">
      <c r="A56" s="3" t="str">
        <f t="shared" si="0"/>
        <v>Miguel Santoro 12/19/2025</v>
      </c>
      <c r="B56" s="11" t="s">
        <v>51</v>
      </c>
      <c r="C56" s="4" t="s">
        <v>32</v>
      </c>
      <c r="D56" s="5">
        <v>0.39444444444444443</v>
      </c>
      <c r="E56" s="7">
        <f t="shared" si="2"/>
        <v>0.7944444444444444</v>
      </c>
      <c r="F56" s="6">
        <v>9.5999999999999996</v>
      </c>
      <c r="H56" s="7">
        <f>VLOOKUP(A56, Sheet3!$A:$E, 5, FALSE)</f>
        <v>0.79513888888888884</v>
      </c>
      <c r="I56" s="12" t="b">
        <f t="shared" si="1"/>
        <v>0</v>
      </c>
      <c r="J56" s="12"/>
      <c r="K56" s="12"/>
    </row>
    <row r="57" ht="15.75" customHeight="1">
      <c r="A57" s="3" t="str">
        <f t="shared" si="0"/>
        <v>Adrian Velasco 12/19/2025</v>
      </c>
      <c r="B57" s="11" t="s">
        <v>51</v>
      </c>
      <c r="C57" s="4" t="s">
        <v>28</v>
      </c>
      <c r="D57" s="5">
        <v>0.41249999999999998</v>
      </c>
      <c r="E57" s="7">
        <f t="shared" si="2"/>
        <v>0.9145833333333333</v>
      </c>
      <c r="F57" s="6">
        <v>12.050000000000001</v>
      </c>
      <c r="H57" s="7">
        <f>VLOOKUP(A57, Sheet3!$A:$E, 5, FALSE)</f>
        <v>0.91388888888888886</v>
      </c>
      <c r="I57" s="12" t="b">
        <f t="shared" si="1"/>
        <v>0</v>
      </c>
      <c r="J57" s="12"/>
      <c r="K57" s="12"/>
    </row>
    <row r="58" ht="15.75" customHeight="1">
      <c r="A58" s="3" t="str">
        <f t="shared" si="0"/>
        <v>Daniel Alvarez 12/19/2025</v>
      </c>
      <c r="B58" s="11" t="s">
        <v>51</v>
      </c>
      <c r="C58" s="4" t="s">
        <v>34</v>
      </c>
      <c r="D58" s="5">
        <v>0.42777777777777776</v>
      </c>
      <c r="E58" s="7">
        <f t="shared" si="2"/>
        <v>0.79236111111111107</v>
      </c>
      <c r="F58" s="6">
        <v>8.75</v>
      </c>
      <c r="H58" s="7">
        <f>VLOOKUP(A58, Sheet3!$A:$E, 5, FALSE)</f>
        <v>0.79236111111111107</v>
      </c>
      <c r="I58" s="12" t="b">
        <f t="shared" si="1"/>
        <v>1</v>
      </c>
      <c r="J58" s="12"/>
      <c r="K58" s="12"/>
    </row>
    <row r="59" ht="15.75" customHeight="1">
      <c r="A59" s="3" t="str">
        <f t="shared" si="0"/>
        <v>Sophia Delgado 12/19/2025</v>
      </c>
      <c r="B59" s="11" t="s">
        <v>51</v>
      </c>
      <c r="C59" s="4" t="s">
        <v>36</v>
      </c>
      <c r="D59" s="5">
        <v>0.4375</v>
      </c>
      <c r="E59" s="7">
        <f t="shared" si="2"/>
        <v>0.79458333333333342</v>
      </c>
      <c r="F59" s="6">
        <v>8.5700000000000003</v>
      </c>
      <c r="H59" s="7">
        <f>VLOOKUP(A59, Sheet3!$A:$E, 5, FALSE)</f>
        <v>0.7944444444444444</v>
      </c>
      <c r="I59" s="12" t="b">
        <f t="shared" si="1"/>
        <v>1</v>
      </c>
      <c r="J59" s="12"/>
      <c r="K59" s="12"/>
    </row>
    <row r="60" ht="15.75" customHeight="1">
      <c r="A60" s="3" t="str">
        <f t="shared" si="0"/>
        <v>Camila Torres 12/19/2025</v>
      </c>
      <c r="B60" s="11" t="s">
        <v>51</v>
      </c>
      <c r="C60" s="4" t="s">
        <v>39</v>
      </c>
      <c r="D60" s="5">
        <v>0.45416666666666666</v>
      </c>
      <c r="E60" s="7">
        <f t="shared" si="2"/>
        <v>0.79291666666666671</v>
      </c>
      <c r="F60" s="6">
        <v>8.1300000000000008</v>
      </c>
      <c r="H60" s="7">
        <f>VLOOKUP(A60, Sheet3!$A:$E, 5, FALSE)</f>
        <v>0.79305555555555551</v>
      </c>
      <c r="I60" s="12" t="b">
        <f t="shared" si="1"/>
        <v>0</v>
      </c>
      <c r="J60" s="12"/>
      <c r="K60" s="12"/>
    </row>
    <row r="61" ht="15.75" customHeight="1">
      <c r="A61" s="3" t="str">
        <f t="shared" si="0"/>
        <v>Javier Morales 12/20/2025</v>
      </c>
      <c r="B61" s="11" t="s">
        <v>52</v>
      </c>
      <c r="C61" s="4" t="s">
        <v>22</v>
      </c>
      <c r="D61" s="5">
        <v>0.37847222222222221</v>
      </c>
      <c r="E61" s="7">
        <f t="shared" si="2"/>
        <v>0.80555555555555558</v>
      </c>
      <c r="F61" s="6">
        <v>10.25</v>
      </c>
      <c r="H61" s="7">
        <f>VLOOKUP(A61, Sheet3!$A:$E, 5, FALSE)</f>
        <v>0.80555555555555558</v>
      </c>
      <c r="I61" s="12" t="b">
        <f t="shared" si="1"/>
        <v>1</v>
      </c>
      <c r="J61" s="12"/>
      <c r="K61" s="12"/>
    </row>
    <row r="62" ht="15.75" customHeight="1">
      <c r="A62" s="3" t="str">
        <f t="shared" si="0"/>
        <v>Miguel Santoro 12/20/2025</v>
      </c>
      <c r="B62" s="11" t="s">
        <v>52</v>
      </c>
      <c r="C62" s="4" t="s">
        <v>32</v>
      </c>
      <c r="D62" s="5">
        <v>0.40763888888888888</v>
      </c>
      <c r="E62" s="7">
        <f t="shared" si="2"/>
        <v>0.80555555555555558</v>
      </c>
      <c r="F62" s="6">
        <v>9.5500000000000007</v>
      </c>
      <c r="H62" s="7">
        <f>VLOOKUP(A62, Sheet3!$A:$E, 5, FALSE)</f>
        <v>0.80555555555555558</v>
      </c>
      <c r="I62" s="12" t="b">
        <f t="shared" si="1"/>
        <v>1</v>
      </c>
      <c r="J62" s="12"/>
      <c r="K62" s="12"/>
    </row>
    <row r="63" ht="15.75" customHeight="1">
      <c r="A63" s="3" t="str">
        <f t="shared" si="0"/>
        <v>Gabrielle Santos 12/20/2025</v>
      </c>
      <c r="B63" s="11" t="s">
        <v>52</v>
      </c>
      <c r="C63" s="4" t="s">
        <v>24</v>
      </c>
      <c r="D63" s="5">
        <v>0.41111111111111109</v>
      </c>
      <c r="E63" s="7">
        <f t="shared" si="2"/>
        <v>0.9177777777777778</v>
      </c>
      <c r="F63" s="6">
        <v>12.16</v>
      </c>
      <c r="H63" s="7">
        <f>VLOOKUP(A63, Sheet3!$A:$E, 5, FALSE)</f>
        <v>0.91736111111111107</v>
      </c>
      <c r="I63" s="12" t="b">
        <f t="shared" si="1"/>
        <v>1</v>
      </c>
      <c r="J63" s="12"/>
      <c r="K63" s="12"/>
    </row>
    <row r="64" ht="15.75" customHeight="1">
      <c r="A64" s="3" t="str">
        <f t="shared" si="0"/>
        <v>Adrian Velasco 12/20/2025</v>
      </c>
      <c r="B64" s="11" t="s">
        <v>52</v>
      </c>
      <c r="C64" s="4" t="s">
        <v>28</v>
      </c>
      <c r="D64" s="5">
        <v>0.41458333333333336</v>
      </c>
      <c r="E64" s="7">
        <f t="shared" si="2"/>
        <v>0.91541666666666677</v>
      </c>
      <c r="F64" s="6">
        <v>12.02</v>
      </c>
      <c r="H64" s="7">
        <f>VLOOKUP(A64, Sheet3!$A:$E, 5, FALSE)</f>
        <v>0.91597222222222219</v>
      </c>
      <c r="I64" s="12" t="b">
        <f t="shared" si="1"/>
        <v>0</v>
      </c>
      <c r="J64" s="12"/>
      <c r="K64" s="12"/>
    </row>
    <row r="65" ht="15.75" customHeight="1">
      <c r="A65" s="3" t="str">
        <f t="shared" si="0"/>
        <v>Sophia Delgado 12/20/2025</v>
      </c>
      <c r="B65" s="11" t="s">
        <v>52</v>
      </c>
      <c r="C65" s="4" t="s">
        <v>36</v>
      </c>
      <c r="D65" s="5">
        <v>0.41944444444444445</v>
      </c>
      <c r="E65" s="7">
        <f t="shared" si="2"/>
        <v>0.68069444444444449</v>
      </c>
      <c r="F65" s="6">
        <v>6.2699999999999996</v>
      </c>
      <c r="H65" s="7">
        <f>VLOOKUP(A65, Sheet3!$A:$E, 5, FALSE)</f>
        <v>0.68055555555555558</v>
      </c>
      <c r="I65" s="12" t="b">
        <f t="shared" si="1"/>
        <v>1</v>
      </c>
      <c r="J65" s="12"/>
      <c r="K65" s="12"/>
    </row>
    <row r="66" ht="15.75" customHeight="1">
      <c r="A66" s="3" t="str">
        <f t="shared" si="0"/>
        <v>Javier Morales 12/21/2025</v>
      </c>
      <c r="B66" s="11" t="s">
        <v>53</v>
      </c>
      <c r="C66" s="4" t="s">
        <v>22</v>
      </c>
      <c r="D66" s="5">
        <v>0.39097222222222222</v>
      </c>
      <c r="E66" s="7">
        <f t="shared" si="2"/>
        <v>0.81972222222222224</v>
      </c>
      <c r="F66" s="6">
        <v>10.289999999999999</v>
      </c>
      <c r="H66" s="7">
        <f>VLOOKUP(A66, Sheet3!$A:$E, 5, FALSE)</f>
        <v>0.82013888888888886</v>
      </c>
      <c r="I66" s="12" t="b">
        <f t="shared" si="1"/>
        <v>0</v>
      </c>
      <c r="J66" s="12"/>
      <c r="K66" s="12"/>
    </row>
    <row r="67" ht="15.75" customHeight="1">
      <c r="A67" s="3" t="str">
        <f t="shared" si="0"/>
        <v>Gabrielle Santos 12/21/2025</v>
      </c>
      <c r="B67" s="11" t="s">
        <v>53</v>
      </c>
      <c r="C67" s="4" t="s">
        <v>24</v>
      </c>
      <c r="D67" s="5">
        <v>0.41180555555555554</v>
      </c>
      <c r="E67" s="7">
        <f t="shared" si="2"/>
        <v>0.91763888888888889</v>
      </c>
      <c r="F67" s="6">
        <v>12.140000000000001</v>
      </c>
      <c r="H67" s="7">
        <f>VLOOKUP(A67, Sheet3!$A:$E, 5, FALSE)</f>
        <v>0.91805555555555551</v>
      </c>
      <c r="I67" s="12" t="b">
        <f t="shared" si="1"/>
        <v>0</v>
      </c>
      <c r="J67" s="12"/>
      <c r="K67" s="12"/>
    </row>
    <row r="68" ht="15.75" customHeight="1">
      <c r="A68" s="3" t="str">
        <f t="shared" si="0"/>
        <v>Adrian Velasco 12/21/2025</v>
      </c>
      <c r="B68" s="11" t="s">
        <v>53</v>
      </c>
      <c r="C68" s="4" t="s">
        <v>28</v>
      </c>
      <c r="D68" s="5">
        <v>0.41388888888888886</v>
      </c>
      <c r="E68" s="7">
        <f t="shared" si="2"/>
        <v>0.91638888888888892</v>
      </c>
      <c r="F68" s="6">
        <v>12.06</v>
      </c>
      <c r="H68" s="7">
        <f>VLOOKUP(A68, Sheet3!$A:$E, 5, FALSE)</f>
        <v>0.91666666666666663</v>
      </c>
      <c r="I68" s="12" t="b">
        <f t="shared" si="1"/>
        <v>0</v>
      </c>
      <c r="J68" s="12"/>
      <c r="K68" s="12"/>
    </row>
    <row r="69" ht="15.75" customHeight="1">
      <c r="A69" s="3" t="str">
        <f t="shared" si="0"/>
        <v>Camila Torres 12/21/2025</v>
      </c>
      <c r="B69" s="11" t="s">
        <v>53</v>
      </c>
      <c r="C69" s="4" t="s">
        <v>39</v>
      </c>
      <c r="D69" s="5">
        <v>0.42083333333333334</v>
      </c>
      <c r="E69" s="7">
        <f t="shared" si="2"/>
        <v>0.79625000000000001</v>
      </c>
      <c r="F69" s="6">
        <v>9.0099999999999998</v>
      </c>
      <c r="H69" s="7">
        <f>VLOOKUP(A69, Sheet3!$A:$E, 5, FALSE)</f>
        <v>0.79652777777777772</v>
      </c>
      <c r="I69" s="12" t="b">
        <f t="shared" si="1"/>
        <v>0</v>
      </c>
      <c r="J69" s="12"/>
      <c r="K69" s="12"/>
    </row>
    <row r="70" ht="15.75" customHeight="1">
      <c r="A70" s="3" t="str">
        <f t="shared" si="0"/>
        <v>Miguel Santoro 12/21/2025</v>
      </c>
      <c r="B70" s="11" t="s">
        <v>53</v>
      </c>
      <c r="C70" s="4" t="s">
        <v>32</v>
      </c>
      <c r="D70" s="5">
        <v>0.43402777777777779</v>
      </c>
      <c r="E70" s="7">
        <f t="shared" si="2"/>
        <v>0.80027777777777775</v>
      </c>
      <c r="F70" s="6">
        <v>8.7899999999999991</v>
      </c>
      <c r="H70" s="7">
        <f>VLOOKUP(A70, Sheet3!$A:$E, 5, FALSE)</f>
        <v>0.80000000000000004</v>
      </c>
      <c r="I70" s="12" t="b">
        <f t="shared" si="1"/>
        <v>1</v>
      </c>
      <c r="J70" s="12"/>
      <c r="K70" s="12"/>
    </row>
    <row r="71" ht="15.75" customHeight="1">
      <c r="A71" s="3" t="str">
        <f t="shared" si="0"/>
        <v>Miguel Santoro 12/22/2025</v>
      </c>
      <c r="B71" s="11" t="s">
        <v>54</v>
      </c>
      <c r="C71" s="4" t="s">
        <v>32</v>
      </c>
      <c r="D71" s="5">
        <v>0.37847222222222221</v>
      </c>
      <c r="E71" s="7">
        <f t="shared" si="2"/>
        <v>0.7713888888888889</v>
      </c>
      <c r="F71" s="6">
        <v>9.4299999999999997</v>
      </c>
      <c r="H71" s="7">
        <f>VLOOKUP(A71, Sheet3!$A:$E, 5, FALSE)</f>
        <v>0.77152777777777781</v>
      </c>
      <c r="I71" s="12" t="b">
        <f t="shared" si="1"/>
        <v>0</v>
      </c>
      <c r="J71" s="12"/>
      <c r="K71" s="12"/>
    </row>
    <row r="72" ht="15.75" customHeight="1">
      <c r="A72" s="3" t="str">
        <f t="shared" si="0"/>
        <v>Lorenzo Castillo 12/22/2025</v>
      </c>
      <c r="B72" s="11" t="s">
        <v>54</v>
      </c>
      <c r="C72" s="4" t="s">
        <v>15</v>
      </c>
      <c r="D72" s="5">
        <v>0.39166666666666666</v>
      </c>
      <c r="E72" s="7">
        <f t="shared" si="2"/>
        <v>0.77124999999999999</v>
      </c>
      <c r="F72" s="6">
        <v>9.1099999999999994</v>
      </c>
      <c r="H72" s="7">
        <f>VLOOKUP(A72, Sheet3!$A:$E, 5, FALSE)</f>
        <v>0.77083333333333337</v>
      </c>
      <c r="I72" s="12" t="b">
        <f t="shared" si="1"/>
        <v>1</v>
      </c>
      <c r="J72" s="12"/>
      <c r="K72" s="12"/>
    </row>
    <row r="73" ht="15.75" customHeight="1">
      <c r="A73" s="3" t="str">
        <f t="shared" si="0"/>
        <v>Javier Morales 12/22/2025</v>
      </c>
      <c r="B73" s="11" t="s">
        <v>54</v>
      </c>
      <c r="C73" s="4" t="s">
        <v>22</v>
      </c>
      <c r="D73" s="5">
        <v>0.40416666666666667</v>
      </c>
      <c r="E73" s="7">
        <f t="shared" si="2"/>
        <v>0.77041666666666664</v>
      </c>
      <c r="F73" s="6">
        <v>8.7899999999999991</v>
      </c>
      <c r="H73" s="7">
        <f>VLOOKUP(A73, Sheet3!$A:$E, 5, FALSE)</f>
        <v>0.77083333333333337</v>
      </c>
      <c r="I73" s="12" t="b">
        <f t="shared" si="1"/>
        <v>0</v>
      </c>
      <c r="J73" s="12"/>
      <c r="K73" s="12"/>
    </row>
    <row r="74" ht="15.75" customHeight="1">
      <c r="A74" s="3" t="str">
        <f t="shared" si="0"/>
        <v>Gabrielle Santos 12/22/2025</v>
      </c>
      <c r="B74" s="11" t="s">
        <v>54</v>
      </c>
      <c r="C74" s="4" t="s">
        <v>24</v>
      </c>
      <c r="D74" s="5">
        <v>0.41319444444444442</v>
      </c>
      <c r="E74" s="7">
        <f t="shared" si="2"/>
        <v>0.75277777777777777</v>
      </c>
      <c r="F74" s="6">
        <v>8.1500000000000004</v>
      </c>
      <c r="H74" s="7">
        <f>VLOOKUP(A74, Sheet3!$A:$E, 5, FALSE)</f>
        <v>0.75277777777777777</v>
      </c>
      <c r="I74" s="12" t="b">
        <f t="shared" si="1"/>
        <v>1</v>
      </c>
      <c r="J74" s="12"/>
      <c r="K74" s="12"/>
    </row>
    <row r="75" ht="15.75" customHeight="1">
      <c r="A75" s="3" t="str">
        <f t="shared" si="0"/>
        <v>Adrian Velasco 12/22/2025</v>
      </c>
      <c r="B75" s="11" t="s">
        <v>54</v>
      </c>
      <c r="C75" s="4" t="s">
        <v>28</v>
      </c>
      <c r="D75" s="5">
        <v>0.41458333333333336</v>
      </c>
      <c r="E75" s="7">
        <f t="shared" si="2"/>
        <v>0.75166666666666671</v>
      </c>
      <c r="F75" s="6">
        <v>8.0899999999999999</v>
      </c>
      <c r="H75" s="7">
        <f>VLOOKUP(A75, Sheet3!$A:$E, 5, FALSE)</f>
        <v>0.75138888888888888</v>
      </c>
      <c r="I75" s="12" t="b">
        <f t="shared" si="1"/>
        <v>1</v>
      </c>
      <c r="J75" s="12"/>
      <c r="K75" s="12"/>
    </row>
    <row r="76" ht="15.75" customHeight="1">
      <c r="A76" s="3" t="str">
        <f t="shared" si="0"/>
        <v>Sophia Delgado 12/22/2025</v>
      </c>
      <c r="B76" s="11" t="s">
        <v>54</v>
      </c>
      <c r="C76" s="4" t="s">
        <v>36</v>
      </c>
      <c r="D76" s="5">
        <v>0.4284722222222222</v>
      </c>
      <c r="E76" s="7">
        <f t="shared" si="2"/>
        <v>0.77055555555555555</v>
      </c>
      <c r="F76" s="6">
        <v>8.2100000000000009</v>
      </c>
      <c r="H76" s="7">
        <f>VLOOKUP(A76, Sheet3!$A:$E, 5, FALSE)</f>
        <v>0.77083333333333337</v>
      </c>
      <c r="I76" s="12" t="b">
        <f t="shared" si="1"/>
        <v>0</v>
      </c>
      <c r="J76" s="12"/>
      <c r="K76" s="12"/>
    </row>
    <row r="77" ht="15.75" customHeight="1">
      <c r="A77" s="3" t="str">
        <f t="shared" si="0"/>
        <v>Camila Torres 12/22/2025</v>
      </c>
      <c r="B77" s="11" t="s">
        <v>54</v>
      </c>
      <c r="C77" s="4" t="s">
        <v>39</v>
      </c>
      <c r="D77" s="5">
        <v>0.42986111111111114</v>
      </c>
      <c r="E77" s="7">
        <f t="shared" si="2"/>
        <v>0.77194444444444454</v>
      </c>
      <c r="F77" s="6">
        <v>8.2100000000000009</v>
      </c>
      <c r="H77" s="7">
        <f>VLOOKUP(A77, Sheet3!$A:$E, 5, FALSE)</f>
        <v>0.77222222222222225</v>
      </c>
      <c r="I77" s="12" t="b">
        <f t="shared" si="1"/>
        <v>0</v>
      </c>
      <c r="J77" s="12"/>
      <c r="K77" s="12"/>
    </row>
    <row r="78" ht="15.75" customHeight="1">
      <c r="A78" s="3" t="str">
        <f t="shared" si="0"/>
        <v>Daniel Alvarez 12/22/2025</v>
      </c>
      <c r="B78" s="11" t="s">
        <v>54</v>
      </c>
      <c r="C78" s="4" t="s">
        <v>34</v>
      </c>
      <c r="D78" s="5">
        <v>0.43055555555555558</v>
      </c>
      <c r="E78" s="7">
        <f t="shared" si="2"/>
        <v>0.77097222222222217</v>
      </c>
      <c r="F78" s="6">
        <v>8.1699999999999999</v>
      </c>
      <c r="H78" s="7">
        <f>VLOOKUP(A78, Sheet3!$A:$E, 5, FALSE)</f>
        <v>0.77083333333333337</v>
      </c>
      <c r="I78" s="12" t="b">
        <f t="shared" si="1"/>
        <v>1</v>
      </c>
      <c r="J78" s="12"/>
      <c r="K78" s="12"/>
    </row>
    <row r="79" ht="15.75" customHeight="1">
      <c r="A79" s="3" t="str">
        <f t="shared" si="0"/>
        <v>Javier Morales 12/23/2025</v>
      </c>
      <c r="B79" s="11" t="s">
        <v>55</v>
      </c>
      <c r="C79" s="4" t="s">
        <v>22</v>
      </c>
      <c r="D79" s="5">
        <v>0.38819444444444445</v>
      </c>
      <c r="E79" s="7">
        <f t="shared" si="2"/>
        <v>0.80569444444444449</v>
      </c>
      <c r="F79" s="6">
        <v>10.02</v>
      </c>
      <c r="H79" s="7">
        <f>VLOOKUP(A79, Sheet3!$A:$E, 5, FALSE)</f>
        <v>0.80625000000000002</v>
      </c>
      <c r="I79" s="12" t="b">
        <f t="shared" si="1"/>
        <v>0</v>
      </c>
      <c r="J79" s="12"/>
      <c r="K79" s="12"/>
    </row>
    <row r="80" ht="15.75" customHeight="1">
      <c r="A80" s="3" t="str">
        <f t="shared" si="0"/>
        <v>Lorenzo Castillo 12/23/2025</v>
      </c>
      <c r="B80" s="11" t="s">
        <v>55</v>
      </c>
      <c r="C80" s="4" t="s">
        <v>15</v>
      </c>
      <c r="D80" s="5">
        <v>0.3888888888888889</v>
      </c>
      <c r="E80" s="7">
        <f t="shared" si="2"/>
        <v>0.62805555555555559</v>
      </c>
      <c r="F80" s="6">
        <v>5.7400000000000002</v>
      </c>
      <c r="H80" s="7">
        <f>VLOOKUP(A80, Sheet3!$A:$E, 5, FALSE)</f>
        <v>0.62777777777777777</v>
      </c>
      <c r="I80" s="12" t="b">
        <f t="shared" si="1"/>
        <v>1</v>
      </c>
      <c r="J80" s="12"/>
      <c r="K80" s="12"/>
    </row>
    <row r="81" ht="15.75" customHeight="1">
      <c r="A81" s="3" t="str">
        <f t="shared" si="0"/>
        <v>Gabrielle Santos 12/23/2025</v>
      </c>
      <c r="B81" s="11" t="s">
        <v>55</v>
      </c>
      <c r="C81" s="4" t="s">
        <v>24</v>
      </c>
      <c r="D81" s="5">
        <v>0.41319444444444442</v>
      </c>
      <c r="E81" s="7">
        <f t="shared" si="2"/>
        <v>0.91652777777777772</v>
      </c>
      <c r="F81" s="6">
        <v>12.08</v>
      </c>
      <c r="H81" s="7">
        <f>VLOOKUP(A81, Sheet3!$A:$E, 5, FALSE)</f>
        <v>0.91666666666666663</v>
      </c>
      <c r="I81" s="12" t="b">
        <f t="shared" si="1"/>
        <v>0</v>
      </c>
      <c r="J81" s="12"/>
      <c r="K81" s="12"/>
    </row>
    <row r="82" ht="15.75" customHeight="1">
      <c r="A82" s="3" t="str">
        <f t="shared" si="0"/>
        <v>Adrian Velasco 12/23/2025</v>
      </c>
      <c r="B82" s="11" t="s">
        <v>55</v>
      </c>
      <c r="C82" s="4" t="s">
        <v>28</v>
      </c>
      <c r="D82" s="5">
        <v>0.41388888888888886</v>
      </c>
      <c r="E82" s="7">
        <f t="shared" si="2"/>
        <v>0.91763888888888889</v>
      </c>
      <c r="F82" s="6">
        <v>12.09</v>
      </c>
      <c r="H82" s="7">
        <f>VLOOKUP(A82, Sheet3!$A:$E, 5, FALSE)</f>
        <v>0.91736111111111107</v>
      </c>
      <c r="I82" s="12" t="b">
        <f t="shared" si="1"/>
        <v>1</v>
      </c>
      <c r="J82" s="12"/>
      <c r="K82" s="12"/>
    </row>
    <row r="83" ht="15.75" customHeight="1">
      <c r="A83" s="3" t="str">
        <f t="shared" si="0"/>
        <v>Sophia Delgado 12/23/2025</v>
      </c>
      <c r="B83" s="11" t="s">
        <v>55</v>
      </c>
      <c r="C83" s="4" t="s">
        <v>36</v>
      </c>
      <c r="D83" s="5">
        <v>0.46111111111111114</v>
      </c>
      <c r="E83" s="7">
        <f t="shared" si="2"/>
        <v>0.80611111111111111</v>
      </c>
      <c r="F83" s="6">
        <v>8.2799999999999994</v>
      </c>
      <c r="H83" s="7">
        <f>VLOOKUP(A83, Sheet3!$A:$E, 5, FALSE)</f>
        <v>0.80625000000000002</v>
      </c>
      <c r="I83" s="12" t="b">
        <f t="shared" si="1"/>
        <v>0</v>
      </c>
      <c r="J83" s="12"/>
      <c r="K83" s="12"/>
    </row>
    <row r="84" ht="15.75" customHeight="1">
      <c r="A84" s="3" t="str">
        <f t="shared" si="0"/>
        <v>Javier Morales 12/23/2025</v>
      </c>
      <c r="B84" s="11" t="s">
        <v>55</v>
      </c>
      <c r="C84" s="4" t="s">
        <v>22</v>
      </c>
      <c r="D84" s="5">
        <v>0.80555555555555558</v>
      </c>
      <c r="E84" s="7">
        <f t="shared" si="2"/>
        <v>0.8059722222222222</v>
      </c>
      <c r="F84" s="6">
        <v>0.01</v>
      </c>
      <c r="H84" s="7">
        <f>VLOOKUP(A84, Sheet3!$A:$E, 5, FALSE)</f>
        <v>0.80625000000000002</v>
      </c>
      <c r="I84" s="12" t="b">
        <f t="shared" si="1"/>
        <v>0</v>
      </c>
      <c r="J84" s="12"/>
      <c r="K84" s="12"/>
    </row>
    <row r="85" ht="15.75" customHeight="1">
      <c r="A85" s="3" t="str">
        <f t="shared" si="0"/>
        <v>Javier Morales 12/24/2025</v>
      </c>
      <c r="B85" s="11" t="s">
        <v>56</v>
      </c>
      <c r="C85" s="4" t="s">
        <v>22</v>
      </c>
      <c r="D85" s="5">
        <v>0.35416666666666669</v>
      </c>
      <c r="E85" s="7">
        <f t="shared" si="2"/>
        <v>0.79208333333333336</v>
      </c>
      <c r="F85" s="6">
        <v>10.51</v>
      </c>
      <c r="H85" s="7">
        <f>VLOOKUP(A85, Sheet3!$A:$E, 5, FALSE)</f>
        <v>0.79236111111111107</v>
      </c>
      <c r="I85" s="12" t="b">
        <f t="shared" si="1"/>
        <v>0</v>
      </c>
      <c r="J85" s="12"/>
      <c r="K85" s="12"/>
    </row>
    <row r="86" ht="15.75" customHeight="1">
      <c r="A86" s="3" t="str">
        <f t="shared" si="0"/>
        <v>Gabrielle Santos 12/24/2025</v>
      </c>
      <c r="B86" s="11" t="s">
        <v>56</v>
      </c>
      <c r="C86" s="4" t="s">
        <v>24</v>
      </c>
      <c r="D86" s="5">
        <v>0.36736111111111114</v>
      </c>
      <c r="E86" s="7">
        <f t="shared" si="2"/>
        <v>0.79319444444444454</v>
      </c>
      <c r="F86" s="6">
        <v>10.220000000000001</v>
      </c>
      <c r="H86" s="7">
        <f>VLOOKUP(A86, Sheet3!$A:$E, 5, FALSE)</f>
        <v>0.79305555555555551</v>
      </c>
      <c r="I86" s="12" t="b">
        <f t="shared" si="1"/>
        <v>1</v>
      </c>
      <c r="J86" s="12"/>
      <c r="K86" s="12"/>
    </row>
    <row r="87" ht="15.75" customHeight="1">
      <c r="A87" s="3" t="str">
        <f t="shared" si="0"/>
        <v>Sophia Delgado 12/24/2025</v>
      </c>
      <c r="B87" s="11" t="s">
        <v>56</v>
      </c>
      <c r="C87" s="4" t="s">
        <v>36</v>
      </c>
      <c r="D87" s="5">
        <v>0.58194444444444449</v>
      </c>
      <c r="E87" s="7">
        <f t="shared" si="2"/>
        <v>0.64236111111111116</v>
      </c>
      <c r="F87" s="6">
        <v>1.45</v>
      </c>
      <c r="H87" s="7">
        <f>VLOOKUP(A87, Sheet3!$A:$E, 5, FALSE)</f>
        <v>0.64236111111111116</v>
      </c>
      <c r="I87" s="12" t="b">
        <f t="shared" si="1"/>
        <v>1</v>
      </c>
      <c r="J87" s="12"/>
      <c r="K87" s="12"/>
    </row>
    <row r="88" ht="15.75" customHeight="1">
      <c r="A88" s="3" t="str">
        <f t="shared" si="0"/>
        <v>Adrian Velasco 12/25/2025</v>
      </c>
      <c r="B88" s="11" t="s">
        <v>57</v>
      </c>
      <c r="C88" s="4" t="s">
        <v>28</v>
      </c>
      <c r="D88" s="5">
        <v>0.53680555555555554</v>
      </c>
      <c r="E88" s="7">
        <f t="shared" si="2"/>
        <v>0.91847222222222213</v>
      </c>
      <c r="F88" s="6">
        <v>9.1600000000000001</v>
      </c>
      <c r="H88" s="7">
        <f>VLOOKUP(A88, Sheet3!$A:$E, 5, FALSE)</f>
        <v>0.91874999999999996</v>
      </c>
      <c r="I88" s="12" t="b">
        <f t="shared" si="1"/>
        <v>0</v>
      </c>
      <c r="J88" s="12"/>
      <c r="K88" s="12"/>
    </row>
    <row r="89" ht="15.75" customHeight="1">
      <c r="A89" s="3" t="str">
        <f t="shared" si="0"/>
        <v>Miguel Santoro 12/26/2025</v>
      </c>
      <c r="B89" s="11" t="s">
        <v>58</v>
      </c>
      <c r="C89" s="4" t="s">
        <v>32</v>
      </c>
      <c r="D89" s="5">
        <v>0.39861111111111114</v>
      </c>
      <c r="E89" s="7">
        <f t="shared" si="2"/>
        <v>0.79486111111111113</v>
      </c>
      <c r="F89" s="6">
        <v>9.5099999999999998</v>
      </c>
      <c r="H89" s="7">
        <f>VLOOKUP(A89, Sheet3!$A:$E, 5, FALSE)</f>
        <v>0.7944444444444444</v>
      </c>
      <c r="I89" s="12" t="b">
        <f t="shared" si="1"/>
        <v>1</v>
      </c>
      <c r="J89" s="12"/>
      <c r="K89" s="12"/>
    </row>
    <row r="90" ht="15.75" customHeight="1">
      <c r="A90" s="3" t="str">
        <f t="shared" si="0"/>
        <v>Gabrielle Santos 12/26/2025</v>
      </c>
      <c r="B90" s="11" t="s">
        <v>58</v>
      </c>
      <c r="C90" s="4" t="s">
        <v>24</v>
      </c>
      <c r="D90" s="5">
        <v>0.40277777777777779</v>
      </c>
      <c r="E90" s="7">
        <f t="shared" si="2"/>
        <v>0.93736111111111109</v>
      </c>
      <c r="F90" s="6">
        <v>12.83</v>
      </c>
      <c r="H90" s="7">
        <f>VLOOKUP(A90, Sheet3!$A:$E, 5, FALSE)</f>
        <v>0.91736111111111107</v>
      </c>
      <c r="I90" s="12" t="b">
        <f t="shared" si="1"/>
        <v>0</v>
      </c>
      <c r="J90" s="12"/>
      <c r="K90" s="12"/>
    </row>
    <row r="91" ht="15.75" customHeight="1">
      <c r="A91" s="3" t="str">
        <f t="shared" si="0"/>
        <v>Javier Morales 12/26/2025</v>
      </c>
      <c r="B91" s="11" t="s">
        <v>58</v>
      </c>
      <c r="C91" s="4" t="s">
        <v>22</v>
      </c>
      <c r="D91" s="5">
        <v>0.40972222222222221</v>
      </c>
      <c r="E91" s="7">
        <f t="shared" si="2"/>
        <v>0.79597222222222219</v>
      </c>
      <c r="F91" s="6">
        <v>9.2699999999999996</v>
      </c>
      <c r="H91" s="7">
        <f>VLOOKUP(A91, Sheet3!$A:$E, 5, FALSE)</f>
        <v>0.79583333333333328</v>
      </c>
      <c r="I91" s="12" t="b">
        <f t="shared" si="1"/>
        <v>1</v>
      </c>
      <c r="J91" s="12"/>
      <c r="K91" s="12"/>
    </row>
    <row r="92" ht="15.75" customHeight="1">
      <c r="A92" s="3" t="str">
        <f t="shared" si="0"/>
        <v>Adrian Velasco 12/26/2025</v>
      </c>
      <c r="B92" s="11" t="s">
        <v>58</v>
      </c>
      <c r="C92" s="4" t="s">
        <v>28</v>
      </c>
      <c r="D92" s="5">
        <v>0.41249999999999998</v>
      </c>
      <c r="E92" s="7">
        <f t="shared" si="2"/>
        <v>0.91625000000000001</v>
      </c>
      <c r="F92" s="6">
        <v>12.09</v>
      </c>
      <c r="H92" s="7">
        <f>VLOOKUP(A92, Sheet3!$A:$E, 5, FALSE)</f>
        <v>0.91666666666666663</v>
      </c>
      <c r="I92" s="12" t="b">
        <f t="shared" si="1"/>
        <v>0</v>
      </c>
      <c r="J92" s="12"/>
      <c r="K92" s="12"/>
    </row>
    <row r="93" ht="15.75" customHeight="1">
      <c r="A93" s="3" t="str">
        <f t="shared" si="0"/>
        <v>Camila Torres 12/26/2025</v>
      </c>
      <c r="B93" s="11" t="s">
        <v>58</v>
      </c>
      <c r="C93" s="4" t="s">
        <v>39</v>
      </c>
      <c r="D93" s="5">
        <v>0.4236111111111111</v>
      </c>
      <c r="E93" s="7">
        <f t="shared" si="2"/>
        <v>0.79486111111111113</v>
      </c>
      <c r="F93" s="6">
        <v>8.9100000000000001</v>
      </c>
      <c r="H93" s="7">
        <f>VLOOKUP(A93, Sheet3!$A:$E, 5, FALSE)</f>
        <v>0.79513888888888884</v>
      </c>
      <c r="I93" s="12" t="b">
        <f t="shared" si="1"/>
        <v>0</v>
      </c>
      <c r="J93" s="12"/>
      <c r="K93" s="12"/>
    </row>
    <row r="94" ht="15.75" customHeight="1">
      <c r="A94" s="3" t="str">
        <f t="shared" si="0"/>
        <v>Daniel Alvarez 12/26/2025</v>
      </c>
      <c r="B94" s="11" t="s">
        <v>58</v>
      </c>
      <c r="C94" s="4" t="s">
        <v>34</v>
      </c>
      <c r="D94" s="5">
        <v>0.43125000000000002</v>
      </c>
      <c r="E94" s="7">
        <f t="shared" si="2"/>
        <v>0.79500000000000004</v>
      </c>
      <c r="F94" s="6">
        <v>8.7300000000000004</v>
      </c>
      <c r="H94" s="7">
        <f>VLOOKUP(A94, Sheet3!$A:$E, 5, FALSE)</f>
        <v>0.7944444444444444</v>
      </c>
      <c r="I94" s="12" t="b">
        <f t="shared" si="1"/>
        <v>1</v>
      </c>
      <c r="J94" s="12"/>
      <c r="K94" s="12"/>
    </row>
    <row r="95" ht="15.75" customHeight="1">
      <c r="A95" s="3" t="str">
        <f t="shared" si="0"/>
        <v>Sophia Delgado 12/26/2025</v>
      </c>
      <c r="B95" s="11" t="s">
        <v>58</v>
      </c>
      <c r="C95" s="4" t="s">
        <v>36</v>
      </c>
      <c r="D95" s="5">
        <v>0.45000000000000001</v>
      </c>
      <c r="E95" s="7">
        <f t="shared" si="2"/>
        <v>0.79583333333333339</v>
      </c>
      <c r="F95" s="6">
        <v>8.3000000000000007</v>
      </c>
      <c r="H95" s="7">
        <f>VLOOKUP(A95, Sheet3!$A:$E, 5, FALSE)</f>
        <v>0.79583333333333328</v>
      </c>
      <c r="I95" s="12" t="b">
        <f t="shared" si="1"/>
        <v>1</v>
      </c>
      <c r="J95" s="12"/>
      <c r="K95" s="12"/>
    </row>
    <row r="96" ht="15.75" customHeight="1">
      <c r="A96" s="3" t="str">
        <f t="shared" si="0"/>
        <v>Javier Morales 12/27/2025</v>
      </c>
      <c r="B96" s="11" t="s">
        <v>59</v>
      </c>
      <c r="C96" s="4" t="s">
        <v>22</v>
      </c>
      <c r="D96" s="5">
        <v>0.38611111111111113</v>
      </c>
      <c r="E96" s="7">
        <f t="shared" si="2"/>
        <v>0.79361111111111104</v>
      </c>
      <c r="F96" s="6">
        <v>9.7799999999999994</v>
      </c>
      <c r="H96" s="7">
        <f>VLOOKUP(A96, Sheet3!$A:$E, 5, FALSE)</f>
        <v>0.79374999999999996</v>
      </c>
      <c r="I96" s="12" t="b">
        <f t="shared" si="1"/>
        <v>0</v>
      </c>
      <c r="J96" s="12"/>
      <c r="K96" s="12"/>
    </row>
    <row r="97" ht="15.75" customHeight="1">
      <c r="A97" s="3" t="str">
        <f t="shared" si="0"/>
        <v>Adrian Velasco 12/27/2025</v>
      </c>
      <c r="B97" s="11" t="s">
        <v>59</v>
      </c>
      <c r="C97" s="4" t="s">
        <v>28</v>
      </c>
      <c r="D97" s="5">
        <v>0.41180555555555554</v>
      </c>
      <c r="E97" s="7">
        <f t="shared" si="2"/>
        <v>0.91638888888888881</v>
      </c>
      <c r="F97" s="6">
        <v>12.109999999999999</v>
      </c>
      <c r="H97" s="7">
        <f>VLOOKUP(A97, Sheet3!$A:$E, 5, FALSE)</f>
        <v>0.91666666666666663</v>
      </c>
      <c r="I97" s="12" t="b">
        <f t="shared" si="1"/>
        <v>0</v>
      </c>
      <c r="J97" s="12"/>
      <c r="K97" s="12"/>
    </row>
    <row r="98" ht="15.75" customHeight="1">
      <c r="A98" s="3" t="str">
        <f t="shared" si="0"/>
        <v>Gabrielle Santos 12/27/2025</v>
      </c>
      <c r="B98" s="11" t="s">
        <v>59</v>
      </c>
      <c r="C98" s="4" t="s">
        <v>24</v>
      </c>
      <c r="D98" s="5">
        <v>0.41249999999999998</v>
      </c>
      <c r="E98" s="7">
        <f t="shared" si="2"/>
        <v>0.91791666666666671</v>
      </c>
      <c r="F98" s="6">
        <v>12.130000000000001</v>
      </c>
      <c r="H98" s="7">
        <f>VLOOKUP(A98, Sheet3!$A:$E, 5, FALSE)</f>
        <v>0.91736111111111107</v>
      </c>
      <c r="I98" s="12" t="b">
        <f t="shared" si="1"/>
        <v>1</v>
      </c>
      <c r="J98" s="12"/>
      <c r="K98" s="12"/>
    </row>
    <row r="99" ht="15.75" customHeight="1">
      <c r="A99" s="3" t="str">
        <f t="shared" si="0"/>
        <v>Miguel Santoro 12/27/2025</v>
      </c>
      <c r="B99" s="11" t="s">
        <v>59</v>
      </c>
      <c r="C99" s="4" t="s">
        <v>32</v>
      </c>
      <c r="D99" s="5">
        <v>0.41597222222222224</v>
      </c>
      <c r="E99" s="7">
        <f t="shared" si="2"/>
        <v>0.79305555555555562</v>
      </c>
      <c r="F99" s="6">
        <v>9.0500000000000007</v>
      </c>
      <c r="H99" s="7">
        <f>VLOOKUP(A99, Sheet3!$A:$E, 5, FALSE)</f>
        <v>0.79305555555555551</v>
      </c>
      <c r="I99" s="12" t="b">
        <f t="shared" si="1"/>
        <v>1</v>
      </c>
      <c r="J99" s="12"/>
      <c r="K99" s="12"/>
    </row>
    <row r="100" ht="15.75" customHeight="1">
      <c r="A100" s="3" t="str">
        <f t="shared" si="0"/>
        <v>Javier Morales 12/28/2025</v>
      </c>
      <c r="B100" s="11" t="s">
        <v>60</v>
      </c>
      <c r="C100" s="4" t="s">
        <v>22</v>
      </c>
      <c r="D100" s="5">
        <v>0.37847222222222221</v>
      </c>
      <c r="E100" s="7">
        <f t="shared" si="2"/>
        <v>0.79180555555555554</v>
      </c>
      <c r="F100" s="6">
        <v>9.9199999999999999</v>
      </c>
      <c r="H100" s="7">
        <f>VLOOKUP(A100, Sheet3!$A:$E, 5, FALSE)</f>
        <v>0.79166666666666663</v>
      </c>
      <c r="I100" s="12" t="b">
        <f t="shared" si="1"/>
        <v>1</v>
      </c>
      <c r="J100" s="12"/>
      <c r="K100" s="12"/>
    </row>
    <row r="101" ht="15.75" customHeight="1">
      <c r="A101" s="3" t="str">
        <f t="shared" si="0"/>
        <v>Gabrielle Santos 12/28/2025</v>
      </c>
      <c r="B101" s="11" t="s">
        <v>60</v>
      </c>
      <c r="C101" s="4" t="s">
        <v>24</v>
      </c>
      <c r="D101" s="5">
        <v>0.41249999999999998</v>
      </c>
      <c r="E101" s="7">
        <f t="shared" si="2"/>
        <v>0.92041666666666666</v>
      </c>
      <c r="F101" s="6">
        <v>12.19</v>
      </c>
      <c r="H101" s="7">
        <f>VLOOKUP(A101, Sheet3!$A:$E, 5, FALSE)</f>
        <v>0.92013888888888884</v>
      </c>
      <c r="I101" s="12" t="b">
        <f t="shared" si="1"/>
        <v>1</v>
      </c>
      <c r="J101" s="12"/>
      <c r="K101" s="12"/>
    </row>
    <row r="102" ht="15.75" customHeight="1">
      <c r="A102" s="3" t="str">
        <f t="shared" si="0"/>
        <v>Adrian Velasco 12/28/2025</v>
      </c>
      <c r="B102" s="11" t="s">
        <v>60</v>
      </c>
      <c r="C102" s="4" t="s">
        <v>28</v>
      </c>
      <c r="D102" s="5">
        <v>0.41458333333333336</v>
      </c>
      <c r="E102" s="7">
        <f t="shared" si="2"/>
        <v>0.91833333333333345</v>
      </c>
      <c r="F102" s="6">
        <v>12.09</v>
      </c>
      <c r="H102" s="7">
        <f>VLOOKUP(A102, Sheet3!$A:$E, 5, FALSE)</f>
        <v>0.91805555555555551</v>
      </c>
      <c r="I102" s="12" t="b">
        <f t="shared" si="1"/>
        <v>1</v>
      </c>
      <c r="J102" s="12"/>
      <c r="K102" s="12"/>
    </row>
    <row r="103" ht="15.75" customHeight="1">
      <c r="A103" s="3" t="str">
        <f t="shared" si="0"/>
        <v>Miguel Santoro 12/28/2025</v>
      </c>
      <c r="B103" s="11" t="s">
        <v>60</v>
      </c>
      <c r="C103" s="4" t="s">
        <v>32</v>
      </c>
      <c r="D103" s="5">
        <v>0.41666666666666669</v>
      </c>
      <c r="E103" s="7">
        <f t="shared" si="2"/>
        <v>0.78833333333333333</v>
      </c>
      <c r="F103" s="6">
        <v>8.9199999999999999</v>
      </c>
      <c r="H103" s="7">
        <f>VLOOKUP(A103, Sheet3!$A:$E, 5, FALSE)</f>
        <v>0.78819444444444442</v>
      </c>
      <c r="I103" s="12" t="b">
        <f t="shared" si="1"/>
        <v>1</v>
      </c>
      <c r="J103" s="12"/>
      <c r="K103" s="12"/>
    </row>
    <row r="104" ht="15.75" customHeight="1">
      <c r="A104" s="3" t="str">
        <f t="shared" si="0"/>
        <v>Javier Morales 12/29/2025</v>
      </c>
      <c r="B104" s="11" t="s">
        <v>61</v>
      </c>
      <c r="C104" s="4" t="s">
        <v>22</v>
      </c>
      <c r="D104" s="5">
        <v>0.39097222222222222</v>
      </c>
      <c r="E104" s="7">
        <f t="shared" si="2"/>
        <v>0.79972222222222222</v>
      </c>
      <c r="F104" s="6">
        <v>9.8100000000000005</v>
      </c>
      <c r="H104" s="7">
        <f>VLOOKUP(A104, Sheet3!$A:$E, 5, FALSE)</f>
        <v>0.80000000000000004</v>
      </c>
      <c r="I104" s="12" t="b">
        <f t="shared" si="1"/>
        <v>0</v>
      </c>
      <c r="J104" s="12"/>
      <c r="K104" s="12"/>
    </row>
    <row r="105" ht="15.75" customHeight="1">
      <c r="A105" s="3" t="str">
        <f t="shared" si="0"/>
        <v>Gabrielle Santos 12/29/2025</v>
      </c>
      <c r="B105" s="11" t="s">
        <v>61</v>
      </c>
      <c r="C105" s="4" t="s">
        <v>24</v>
      </c>
      <c r="D105" s="5">
        <v>0.41180555555555554</v>
      </c>
      <c r="E105" s="7">
        <f t="shared" si="2"/>
        <v>0.91805555555555551</v>
      </c>
      <c r="F105" s="6">
        <v>12.15</v>
      </c>
      <c r="H105" s="7">
        <f>VLOOKUP(A105, Sheet3!$A:$E, 5, FALSE)</f>
        <v>0.91805555555555551</v>
      </c>
      <c r="I105" s="12" t="b">
        <f t="shared" si="1"/>
        <v>1</v>
      </c>
      <c r="J105" s="12"/>
      <c r="K105" s="12"/>
    </row>
    <row r="106" ht="15.75" customHeight="1">
      <c r="A106" s="3" t="str">
        <f t="shared" si="0"/>
        <v>Adrian Velasco 12/29/2025</v>
      </c>
      <c r="B106" s="11" t="s">
        <v>61</v>
      </c>
      <c r="C106" s="4" t="s">
        <v>28</v>
      </c>
      <c r="D106" s="5">
        <v>0.41249999999999998</v>
      </c>
      <c r="E106" s="7">
        <f t="shared" si="2"/>
        <v>0.91958333333333331</v>
      </c>
      <c r="F106" s="6">
        <v>12.17</v>
      </c>
      <c r="H106" s="7">
        <f>VLOOKUP(A106, Sheet3!$A:$E, 5, FALSE)</f>
        <v>0.9194444444444444</v>
      </c>
      <c r="I106" s="12" t="b">
        <f t="shared" si="1"/>
        <v>1</v>
      </c>
      <c r="J106" s="12"/>
      <c r="K106" s="12"/>
    </row>
    <row r="107" ht="15.75" customHeight="1">
      <c r="A107" s="3" t="str">
        <f t="shared" si="0"/>
        <v>Miguel Santoro 12/29/2025</v>
      </c>
      <c r="B107" s="11" t="s">
        <v>61</v>
      </c>
      <c r="C107" s="4" t="s">
        <v>32</v>
      </c>
      <c r="D107" s="5">
        <v>0.41944444444444445</v>
      </c>
      <c r="E107" s="7">
        <f t="shared" si="2"/>
        <v>0.79902777777777778</v>
      </c>
      <c r="F107" s="6">
        <v>9.1099999999999994</v>
      </c>
      <c r="H107" s="7">
        <f>VLOOKUP(A107, Sheet3!$A:$E, 5, FALSE)</f>
        <v>0.7993055555555556</v>
      </c>
      <c r="I107" s="12" t="b">
        <f t="shared" si="1"/>
        <v>0</v>
      </c>
      <c r="J107" s="12"/>
      <c r="K107" s="12"/>
    </row>
    <row r="108" ht="15.75" customHeight="1">
      <c r="A108" s="3" t="str">
        <f t="shared" si="0"/>
        <v>Sophia Delgado 12/29/2025</v>
      </c>
      <c r="B108" s="11" t="s">
        <v>61</v>
      </c>
      <c r="C108" s="4" t="s">
        <v>36</v>
      </c>
      <c r="D108" s="5">
        <v>0.46666666666666667</v>
      </c>
      <c r="E108" s="7">
        <f t="shared" si="2"/>
        <v>0.80625000000000002</v>
      </c>
      <c r="F108" s="6">
        <v>8.1500000000000004</v>
      </c>
      <c r="H108" s="7">
        <f>VLOOKUP(A108, Sheet3!$A:$E, 5, FALSE)</f>
        <v>0.80625000000000002</v>
      </c>
      <c r="I108" s="12" t="b">
        <f t="shared" si="1"/>
        <v>1</v>
      </c>
      <c r="J108" s="12"/>
      <c r="K108" s="12"/>
    </row>
    <row r="109" ht="15.75" customHeight="1">
      <c r="A109" s="3" t="str">
        <f t="shared" si="0"/>
        <v>Adrian Velasco 12/30/2025</v>
      </c>
      <c r="B109" s="11" t="s">
        <v>62</v>
      </c>
      <c r="C109" s="4" t="s">
        <v>28</v>
      </c>
      <c r="D109" s="5">
        <v>0.40972222222222221</v>
      </c>
      <c r="E109" s="7">
        <f t="shared" si="2"/>
        <v>0.91680555555555554</v>
      </c>
      <c r="F109" s="6">
        <v>12.17</v>
      </c>
      <c r="H109" s="7">
        <f>VLOOKUP(A109, Sheet3!$A:$E, 5, FALSE)</f>
        <v>0.91736111111111107</v>
      </c>
      <c r="I109" s="12" t="b">
        <f t="shared" si="1"/>
        <v>0</v>
      </c>
      <c r="J109" s="12"/>
      <c r="K109" s="12"/>
    </row>
    <row r="110" ht="15.75" customHeight="1">
      <c r="A110" s="3" t="str">
        <f t="shared" si="0"/>
        <v>Gabrielle Santos 12/30/2025</v>
      </c>
      <c r="B110" s="11" t="s">
        <v>62</v>
      </c>
      <c r="C110" s="4" t="s">
        <v>24</v>
      </c>
      <c r="D110" s="5">
        <v>0.41319444444444442</v>
      </c>
      <c r="E110" s="7">
        <f t="shared" si="2"/>
        <v>0.91694444444444445</v>
      </c>
      <c r="F110" s="6">
        <v>12.09</v>
      </c>
      <c r="H110" s="7">
        <f>VLOOKUP(A110, Sheet3!$A:$E, 5, FALSE)</f>
        <v>0.91666666666666663</v>
      </c>
      <c r="I110" s="12" t="b">
        <f t="shared" si="1"/>
        <v>1</v>
      </c>
      <c r="J110" s="12"/>
      <c r="K110" s="12"/>
    </row>
    <row r="111" ht="15.75" customHeight="1">
      <c r="A111" s="3" t="str">
        <f t="shared" si="0"/>
        <v>Javier Morales 12/31/2025</v>
      </c>
      <c r="B111" s="11" t="s">
        <v>63</v>
      </c>
      <c r="C111" s="4" t="s">
        <v>22</v>
      </c>
      <c r="D111" s="5">
        <v>0.35416666666666669</v>
      </c>
      <c r="E111" s="7">
        <f t="shared" si="2"/>
        <v>0.79249999999999998</v>
      </c>
      <c r="F111" s="6">
        <v>10.52</v>
      </c>
      <c r="H111" s="7">
        <f>VLOOKUP(A111, Sheet3!$A:$E, 5, FALSE)</f>
        <v>0.79236111111111107</v>
      </c>
      <c r="I111" s="12" t="b">
        <f t="shared" si="1"/>
        <v>1</v>
      </c>
      <c r="J111" s="12"/>
      <c r="K111" s="12"/>
    </row>
    <row r="112" ht="15.75" customHeight="1">
      <c r="A112" s="3" t="str">
        <f t="shared" si="0"/>
        <v>Gabrielle Santos 12/31/2025</v>
      </c>
      <c r="B112" s="11" t="s">
        <v>63</v>
      </c>
      <c r="C112" s="4" t="s">
        <v>24</v>
      </c>
      <c r="D112" s="5">
        <v>0.36666666666666664</v>
      </c>
      <c r="E112" s="7">
        <f t="shared" si="2"/>
        <v>0.79125000000000001</v>
      </c>
      <c r="F112" s="6">
        <v>10.19</v>
      </c>
      <c r="H112" s="7">
        <f>VLOOKUP(A112, Sheet3!$A:$E, 5, FALSE)</f>
        <v>0.79166666666666663</v>
      </c>
      <c r="I112" s="12" t="b">
        <f t="shared" si="1"/>
        <v>0</v>
      </c>
      <c r="J112" s="12"/>
      <c r="K112" s="12"/>
    </row>
    <row r="113" ht="15.75" customHeight="1">
      <c r="A113" s="3" t="str">
        <f t="shared" si="0"/>
        <v>Adrian Velasco 1/1/2026</v>
      </c>
      <c r="B113" s="11" t="s">
        <v>64</v>
      </c>
      <c r="C113" s="4" t="s">
        <v>28</v>
      </c>
      <c r="D113" s="5">
        <v>0.49722222222222223</v>
      </c>
      <c r="E113" s="7">
        <f t="shared" si="2"/>
        <v>0.91430555555555548</v>
      </c>
      <c r="F113" s="6">
        <v>10.01</v>
      </c>
      <c r="H113" s="7">
        <f>VLOOKUP(A113, Sheet3!$A:$E, 5, FALSE)</f>
        <v>0.91388888888888886</v>
      </c>
      <c r="I113" s="12" t="b">
        <f t="shared" si="1"/>
        <v>1</v>
      </c>
      <c r="J113" s="12"/>
      <c r="K113" s="12"/>
    </row>
    <row r="114" ht="15.75" customHeight="1">
      <c r="A114" s="3" t="str">
        <f t="shared" si="0"/>
        <v>Javier Morales 1/2/2026</v>
      </c>
      <c r="B114" s="11" t="s">
        <v>65</v>
      </c>
      <c r="C114" s="4" t="s">
        <v>22</v>
      </c>
      <c r="D114" s="5">
        <v>0.375</v>
      </c>
      <c r="E114" s="7">
        <f t="shared" si="2"/>
        <v>0.79416666666666669</v>
      </c>
      <c r="F114" s="6">
        <v>10.06</v>
      </c>
      <c r="H114" s="7">
        <f>VLOOKUP(A114, Sheet3!$A:$E, 5, FALSE)</f>
        <v>0.7944444444444444</v>
      </c>
      <c r="I114" s="12" t="b">
        <f t="shared" si="1"/>
        <v>0</v>
      </c>
      <c r="J114" s="12"/>
      <c r="K114" s="12"/>
    </row>
    <row r="115" ht="15.75" customHeight="1">
      <c r="A115" s="3" t="str">
        <f t="shared" si="0"/>
        <v>Miguel Santoro 1/2/2026</v>
      </c>
      <c r="B115" s="11" t="s">
        <v>65</v>
      </c>
      <c r="C115" s="4" t="s">
        <v>32</v>
      </c>
      <c r="D115" s="5">
        <v>0.40486111111111112</v>
      </c>
      <c r="E115" s="7">
        <f t="shared" si="2"/>
        <v>0.79444444444444451</v>
      </c>
      <c r="F115" s="6">
        <v>9.3499999999999996</v>
      </c>
      <c r="H115" s="7">
        <f>VLOOKUP(A115, Sheet3!$A:$E, 5, FALSE)</f>
        <v>0.7944444444444444</v>
      </c>
      <c r="I115" s="12" t="b">
        <f t="shared" si="1"/>
        <v>1</v>
      </c>
      <c r="J115" s="12"/>
      <c r="K115" s="12"/>
    </row>
    <row r="116" ht="15.75" customHeight="1">
      <c r="A116" s="3" t="str">
        <f t="shared" si="0"/>
        <v>Gabrielle Santos 1/2/2026</v>
      </c>
      <c r="B116" s="11" t="s">
        <v>65</v>
      </c>
      <c r="C116" s="4" t="s">
        <v>24</v>
      </c>
      <c r="D116" s="5">
        <v>0.41388888888888886</v>
      </c>
      <c r="E116" s="7">
        <f t="shared" si="2"/>
        <v>0.87763888888888886</v>
      </c>
      <c r="F116" s="6">
        <v>11.130000000000001</v>
      </c>
      <c r="H116" s="7">
        <f>VLOOKUP(A116, Sheet3!$A:$E, 5, FALSE)</f>
        <v>0.87777777777777777</v>
      </c>
      <c r="I116" s="12" t="b">
        <f t="shared" si="1"/>
        <v>0</v>
      </c>
      <c r="J116" s="12"/>
      <c r="K116" s="12"/>
    </row>
    <row r="117" ht="15.75" customHeight="1">
      <c r="A117" s="3" t="str">
        <f t="shared" si="0"/>
        <v>Adrian Velasco 1/2/2026</v>
      </c>
      <c r="B117" s="11" t="s">
        <v>65</v>
      </c>
      <c r="C117" s="4" t="s">
        <v>28</v>
      </c>
      <c r="D117" s="5">
        <v>0.41458333333333336</v>
      </c>
      <c r="E117" s="7">
        <f t="shared" si="2"/>
        <v>0.91916666666666669</v>
      </c>
      <c r="F117" s="6">
        <v>12.109999999999999</v>
      </c>
      <c r="H117" s="7">
        <f>VLOOKUP(A117, Sheet3!$A:$E, 5, FALSE)</f>
        <v>0.91874999999999996</v>
      </c>
      <c r="I117" s="12" t="b">
        <f t="shared" si="1"/>
        <v>1</v>
      </c>
      <c r="J117" s="12"/>
      <c r="K117" s="12"/>
    </row>
    <row r="118" ht="15.75" customHeight="1">
      <c r="A118" s="3" t="str">
        <f t="shared" si="0"/>
        <v>Lorenzo Castillo 1/2/2026</v>
      </c>
      <c r="B118" s="11" t="s">
        <v>65</v>
      </c>
      <c r="C118" s="4" t="s">
        <v>15</v>
      </c>
      <c r="D118" s="5">
        <v>0.4152777777777778</v>
      </c>
      <c r="E118" s="7">
        <f t="shared" si="2"/>
        <v>0.79527777777777775</v>
      </c>
      <c r="F118" s="6">
        <v>9.1199999999999992</v>
      </c>
      <c r="H118" s="7">
        <f>VLOOKUP(A118, Sheet3!$A:$E, 5, FALSE)</f>
        <v>0.79513888888888884</v>
      </c>
      <c r="I118" s="12" t="b">
        <f t="shared" si="1"/>
        <v>1</v>
      </c>
      <c r="J118" s="12"/>
      <c r="K118" s="12"/>
    </row>
    <row r="119" ht="15.75" customHeight="1">
      <c r="A119" s="3" t="str">
        <f t="shared" si="0"/>
        <v>Camila Torres 1/2/2026</v>
      </c>
      <c r="B119" s="11" t="s">
        <v>65</v>
      </c>
      <c r="C119" s="4" t="s">
        <v>39</v>
      </c>
      <c r="D119" s="5">
        <v>0.41597222222222224</v>
      </c>
      <c r="E119" s="7">
        <f t="shared" si="2"/>
        <v>0.79388888888888887</v>
      </c>
      <c r="F119" s="6">
        <v>9.0700000000000003</v>
      </c>
      <c r="H119" s="7">
        <f>VLOOKUP(A119, Sheet3!$A:$E, 5, FALSE)</f>
        <v>0.79374999999999996</v>
      </c>
      <c r="I119" s="12" t="b">
        <f t="shared" si="1"/>
        <v>1</v>
      </c>
      <c r="J119" s="12"/>
      <c r="K119" s="12"/>
    </row>
    <row r="120" ht="15.75" customHeight="1">
      <c r="A120" s="3" t="str">
        <f t="shared" si="0"/>
        <v>Sophia Delgado 1/2/2026</v>
      </c>
      <c r="B120" s="11" t="s">
        <v>65</v>
      </c>
      <c r="C120" s="4" t="s">
        <v>36</v>
      </c>
      <c r="D120" s="5">
        <v>0.43194444444444446</v>
      </c>
      <c r="E120" s="7">
        <f t="shared" si="2"/>
        <v>0.64819444444444452</v>
      </c>
      <c r="F120" s="6">
        <v>5.1900000000000004</v>
      </c>
      <c r="H120" s="7">
        <f>VLOOKUP(A120, Sheet3!$A:$E, 5, FALSE)</f>
        <v>0.64861111111111114</v>
      </c>
      <c r="I120" s="12" t="b">
        <f t="shared" si="1"/>
        <v>0</v>
      </c>
      <c r="J120" s="12"/>
      <c r="K120" s="12"/>
    </row>
    <row r="121" ht="15.75" customHeight="1">
      <c r="A121" s="3" t="str">
        <f t="shared" si="0"/>
        <v>Javier Morales 1/3/2026</v>
      </c>
      <c r="B121" s="11" t="s">
        <v>66</v>
      </c>
      <c r="C121" s="4" t="s">
        <v>22</v>
      </c>
      <c r="D121" s="5">
        <v>0.39027777777777778</v>
      </c>
      <c r="E121" s="7">
        <f t="shared" si="2"/>
        <v>0.79194444444444445</v>
      </c>
      <c r="F121" s="6">
        <v>9.6400000000000006</v>
      </c>
      <c r="H121" s="7">
        <f>VLOOKUP(A121, Sheet3!$A:$E, 5, FALSE)</f>
        <v>0.79236111111111107</v>
      </c>
      <c r="I121" s="12" t="b">
        <f t="shared" si="1"/>
        <v>0</v>
      </c>
      <c r="J121" s="12"/>
      <c r="K121" s="12"/>
    </row>
    <row r="122" ht="15.75" customHeight="1">
      <c r="A122" s="3" t="str">
        <f t="shared" si="0"/>
        <v>Lorenzo Castillo 1/3/2026</v>
      </c>
      <c r="B122" s="11" t="s">
        <v>66</v>
      </c>
      <c r="C122" s="4" t="s">
        <v>15</v>
      </c>
      <c r="D122" s="5">
        <v>0.39583333333333331</v>
      </c>
      <c r="E122" s="7">
        <f t="shared" si="2"/>
        <v>0.79249999999999998</v>
      </c>
      <c r="F122" s="6">
        <v>9.5199999999999996</v>
      </c>
      <c r="H122" s="7">
        <f>VLOOKUP(A122, Sheet3!$A:$E, 5, FALSE)</f>
        <v>0.79305555555555551</v>
      </c>
      <c r="I122" s="12" t="b">
        <f t="shared" si="1"/>
        <v>0</v>
      </c>
      <c r="J122" s="12"/>
      <c r="K122" s="12"/>
    </row>
    <row r="123" ht="15.75" customHeight="1">
      <c r="A123" s="3" t="str">
        <f t="shared" si="0"/>
        <v>Gabrielle Santos 1/3/2026</v>
      </c>
      <c r="B123" s="11" t="s">
        <v>66</v>
      </c>
      <c r="C123" s="4" t="s">
        <v>24</v>
      </c>
      <c r="D123" s="5">
        <v>0.40763888888888888</v>
      </c>
      <c r="E123" s="7">
        <f t="shared" si="2"/>
        <v>0.87930555555555556</v>
      </c>
      <c r="F123" s="6">
        <v>11.32</v>
      </c>
      <c r="H123" s="7">
        <f>VLOOKUP(A123, Sheet3!$A:$E, 5, FALSE)</f>
        <v>0.87986111111111109</v>
      </c>
      <c r="I123" s="12" t="b">
        <f t="shared" si="1"/>
        <v>0</v>
      </c>
      <c r="J123" s="12"/>
      <c r="K123" s="12"/>
    </row>
    <row r="124" ht="15.75" customHeight="1">
      <c r="A124" s="3" t="str">
        <f t="shared" si="0"/>
        <v>Adrian Velasco 1/3/2026</v>
      </c>
      <c r="B124" s="11" t="s">
        <v>66</v>
      </c>
      <c r="C124" s="4" t="s">
        <v>28</v>
      </c>
      <c r="D124" s="5">
        <v>0.41319444444444442</v>
      </c>
      <c r="E124" s="7">
        <f t="shared" si="2"/>
        <v>0.91527777777777775</v>
      </c>
      <c r="F124" s="6">
        <v>12.050000000000001</v>
      </c>
      <c r="H124" s="7">
        <f>VLOOKUP(A124, Sheet3!$A:$E, 5, FALSE)</f>
        <v>0.91527777777777775</v>
      </c>
      <c r="I124" s="12" t="b">
        <f t="shared" si="1"/>
        <v>1</v>
      </c>
      <c r="J124" s="12"/>
      <c r="K124" s="12"/>
    </row>
    <row r="125" ht="15.75" customHeight="1">
      <c r="A125" s="3" t="str">
        <f t="shared" si="0"/>
        <v>Miguel Santoro 1/3/2026</v>
      </c>
      <c r="B125" s="11" t="s">
        <v>66</v>
      </c>
      <c r="C125" s="4" t="s">
        <v>32</v>
      </c>
      <c r="D125" s="5">
        <v>0.41805555555555557</v>
      </c>
      <c r="E125" s="7">
        <f t="shared" si="2"/>
        <v>0.79222222222222227</v>
      </c>
      <c r="F125" s="6">
        <v>8.9800000000000004</v>
      </c>
      <c r="H125" s="7">
        <f>VLOOKUP(A125, Sheet3!$A:$E, 5, FALSE)</f>
        <v>0.79236111111111107</v>
      </c>
      <c r="I125" s="12" t="b">
        <f t="shared" si="1"/>
        <v>0</v>
      </c>
      <c r="J125" s="12"/>
      <c r="K125" s="12"/>
    </row>
    <row r="126" ht="15.75" customHeight="1">
      <c r="A126" s="3" t="str">
        <f t="shared" si="0"/>
        <v>Sophia Delgado 1/3/2026</v>
      </c>
      <c r="B126" s="11" t="s">
        <v>66</v>
      </c>
      <c r="C126" s="4" t="s">
        <v>36</v>
      </c>
      <c r="D126" s="5">
        <v>0.44791666666666669</v>
      </c>
      <c r="E126" s="7">
        <f t="shared" si="2"/>
        <v>0.9375</v>
      </c>
      <c r="F126" s="6">
        <v>11.75</v>
      </c>
      <c r="H126" s="7">
        <f>VLOOKUP(A126, Sheet3!$A:$E, 5, FALSE)</f>
        <v>0.9375</v>
      </c>
      <c r="I126" s="12" t="b">
        <f t="shared" si="1"/>
        <v>1</v>
      </c>
      <c r="J126" s="12"/>
      <c r="K126" s="12"/>
    </row>
    <row r="127" ht="15.75" customHeight="1">
      <c r="A127" s="3" t="str">
        <f t="shared" si="0"/>
        <v>Javier Morales 1/4/2026</v>
      </c>
      <c r="B127" s="11" t="s">
        <v>67</v>
      </c>
      <c r="C127" s="4" t="s">
        <v>22</v>
      </c>
      <c r="D127" s="5">
        <v>0.375</v>
      </c>
      <c r="E127" s="7">
        <f t="shared" si="2"/>
        <v>0.79333333333333322</v>
      </c>
      <c r="F127" s="6">
        <v>10.039999999999999</v>
      </c>
      <c r="H127" s="7">
        <f>VLOOKUP(A127, Sheet3!$A:$E, 5, FALSE)</f>
        <v>0.79374999999999996</v>
      </c>
      <c r="I127" s="12" t="b">
        <f t="shared" si="1"/>
        <v>0</v>
      </c>
      <c r="J127" s="12"/>
      <c r="K127" s="12"/>
    </row>
    <row r="128" ht="15.75" customHeight="1">
      <c r="A128" s="3" t="str">
        <f t="shared" si="0"/>
        <v>Lorenzo Castillo 1/4/2026</v>
      </c>
      <c r="B128" s="11" t="s">
        <v>67</v>
      </c>
      <c r="C128" s="4" t="s">
        <v>15</v>
      </c>
      <c r="D128" s="5">
        <v>0.38055555555555554</v>
      </c>
      <c r="E128" s="7">
        <f t="shared" si="2"/>
        <v>0.79347222222222213</v>
      </c>
      <c r="F128" s="6">
        <v>9.9100000000000001</v>
      </c>
      <c r="H128" s="7">
        <f>VLOOKUP(A128, Sheet3!$A:$E, 5, FALSE)</f>
        <v>0.79305555555555551</v>
      </c>
      <c r="I128" s="12" t="b">
        <f t="shared" si="1"/>
        <v>1</v>
      </c>
      <c r="J128" s="12"/>
      <c r="K128" s="12"/>
    </row>
    <row r="129" ht="15.75" customHeight="1">
      <c r="A129" s="3" t="str">
        <f t="shared" si="0"/>
        <v>Gabrielle Santos 1/4/2026</v>
      </c>
      <c r="B129" s="11" t="s">
        <v>67</v>
      </c>
      <c r="C129" s="4" t="s">
        <v>24</v>
      </c>
      <c r="D129" s="5">
        <v>0.40763888888888888</v>
      </c>
      <c r="E129" s="7">
        <f t="shared" si="2"/>
        <v>0.87888888888888883</v>
      </c>
      <c r="F129" s="6">
        <v>11.31</v>
      </c>
      <c r="H129" s="7">
        <f>VLOOKUP(A129, Sheet3!$A:$E, 5, FALSE)</f>
        <v>0.87916666666666665</v>
      </c>
      <c r="I129" s="12" t="b">
        <f t="shared" si="1"/>
        <v>0</v>
      </c>
      <c r="J129" s="12"/>
      <c r="K129" s="12"/>
    </row>
    <row r="130" ht="15.75" customHeight="1">
      <c r="A130" s="3" t="str">
        <f t="shared" si="0"/>
        <v>Adrian Velasco 1/4/2026</v>
      </c>
      <c r="B130" s="11" t="s">
        <v>67</v>
      </c>
      <c r="C130" s="4" t="s">
        <v>28</v>
      </c>
      <c r="D130" s="5">
        <v>0.41111111111111109</v>
      </c>
      <c r="E130" s="7">
        <f t="shared" si="2"/>
        <v>0.91444444444444439</v>
      </c>
      <c r="F130" s="6">
        <v>12.08</v>
      </c>
      <c r="H130" s="7">
        <f>VLOOKUP(A130, Sheet3!$A:$E, 5, FALSE)</f>
        <v>0.9145833333333333</v>
      </c>
      <c r="I130" s="12" t="b">
        <f t="shared" si="1"/>
        <v>0</v>
      </c>
      <c r="J130" s="12"/>
      <c r="K130" s="12"/>
    </row>
    <row r="131" ht="15.75" customHeight="1">
      <c r="A131" s="3" t="str">
        <f t="shared" si="0"/>
        <v>Miguel Santoro 1/4/2026</v>
      </c>
      <c r="B131" s="11" t="s">
        <v>67</v>
      </c>
      <c r="C131" s="4" t="s">
        <v>32</v>
      </c>
      <c r="D131" s="5">
        <v>0.41736111111111113</v>
      </c>
      <c r="E131" s="7">
        <f t="shared" si="2"/>
        <v>0.7927777777777778</v>
      </c>
      <c r="F131" s="6">
        <v>9.0099999999999998</v>
      </c>
      <c r="H131" s="7">
        <f>VLOOKUP(A131, Sheet3!$A:$E, 5, FALSE)</f>
        <v>0.79305555555555551</v>
      </c>
      <c r="I131" s="12" t="b">
        <f t="shared" si="1"/>
        <v>0</v>
      </c>
      <c r="J131" s="12"/>
      <c r="K131" s="12"/>
    </row>
    <row r="132" ht="15.75" customHeight="1">
      <c r="A132" s="3" t="str">
        <f t="shared" si="0"/>
        <v>Javier Morales 1/5/2026</v>
      </c>
      <c r="B132" s="11" t="s">
        <v>68</v>
      </c>
      <c r="C132" s="4" t="s">
        <v>22</v>
      </c>
      <c r="D132" s="5">
        <v>0.38611111111111113</v>
      </c>
      <c r="E132" s="7">
        <f t="shared" si="2"/>
        <v>0.79402777777777778</v>
      </c>
      <c r="F132" s="6">
        <v>9.7899999999999991</v>
      </c>
      <c r="H132" s="7">
        <f>VLOOKUP(A132, Sheet3!$A:$E, 5, FALSE)</f>
        <v>0.79374999999999996</v>
      </c>
      <c r="I132" s="12" t="b">
        <f t="shared" si="1"/>
        <v>1</v>
      </c>
      <c r="J132" s="12"/>
      <c r="K132" s="12"/>
    </row>
    <row r="133" ht="15.75" customHeight="1">
      <c r="A133" s="3" t="str">
        <f t="shared" si="0"/>
        <v>Lorenzo Castillo 1/5/2026</v>
      </c>
      <c r="B133" s="11" t="s">
        <v>68</v>
      </c>
      <c r="C133" s="4" t="s">
        <v>15</v>
      </c>
      <c r="D133" s="5">
        <v>0.39444444444444443</v>
      </c>
      <c r="E133" s="7">
        <f t="shared" si="2"/>
        <v>0.79486111111111102</v>
      </c>
      <c r="F133" s="6">
        <v>9.6099999999999994</v>
      </c>
      <c r="H133" s="7">
        <f>VLOOKUP(A133, Sheet3!$A:$E, 5, FALSE)</f>
        <v>0.7944444444444444</v>
      </c>
      <c r="I133" s="12" t="b">
        <f t="shared" si="1"/>
        <v>1</v>
      </c>
      <c r="J133" s="12"/>
      <c r="K133" s="12"/>
    </row>
    <row r="134" ht="15.75" customHeight="1">
      <c r="A134" s="3" t="str">
        <f t="shared" si="0"/>
        <v>Gabrielle Santos 1/5/2026</v>
      </c>
      <c r="B134" s="11" t="s">
        <v>68</v>
      </c>
      <c r="C134" s="4" t="s">
        <v>24</v>
      </c>
      <c r="D134" s="5">
        <v>0.40902777777777777</v>
      </c>
      <c r="E134" s="7">
        <f t="shared" si="2"/>
        <v>0.87736111111111104</v>
      </c>
      <c r="F134" s="6">
        <v>11.24</v>
      </c>
      <c r="H134" s="7">
        <f>VLOOKUP(A134, Sheet3!$A:$E, 5, FALSE)</f>
        <v>0.87708333333333333</v>
      </c>
      <c r="I134" s="12" t="b">
        <f t="shared" si="1"/>
        <v>1</v>
      </c>
      <c r="J134" s="12"/>
      <c r="K134" s="12"/>
    </row>
    <row r="135" ht="15.75" customHeight="1">
      <c r="A135" s="3" t="str">
        <f t="shared" si="0"/>
        <v>Daniel Alvarez 1/5/2026</v>
      </c>
      <c r="B135" s="11" t="s">
        <v>68</v>
      </c>
      <c r="C135" s="4" t="s">
        <v>34</v>
      </c>
      <c r="D135" s="5">
        <v>0.41111111111111109</v>
      </c>
      <c r="E135" s="7">
        <f t="shared" si="2"/>
        <v>0.7944444444444444</v>
      </c>
      <c r="F135" s="6">
        <v>9.1999999999999993</v>
      </c>
      <c r="H135" s="7">
        <f>VLOOKUP(A135, Sheet3!$A:$E, 5, FALSE)</f>
        <v>0.7944444444444444</v>
      </c>
      <c r="I135" s="12" t="b">
        <f t="shared" si="1"/>
        <v>1</v>
      </c>
      <c r="J135" s="12"/>
      <c r="K135" s="12"/>
    </row>
    <row r="136" ht="15.75" customHeight="1">
      <c r="A136" s="3" t="str">
        <f t="shared" si="0"/>
        <v>Adrian Velasco 1/5/2026</v>
      </c>
      <c r="B136" s="11" t="s">
        <v>68</v>
      </c>
      <c r="C136" s="4" t="s">
        <v>28</v>
      </c>
      <c r="D136" s="5">
        <v>0.41388888888888886</v>
      </c>
      <c r="E136" s="7">
        <f t="shared" si="2"/>
        <v>0.87388888888888883</v>
      </c>
      <c r="F136" s="6">
        <v>11.039999999999999</v>
      </c>
      <c r="H136" s="7">
        <f>VLOOKUP(A136, Sheet3!$A:$E, 5, FALSE)</f>
        <v>0.87361111111111112</v>
      </c>
      <c r="I136" s="12" t="b">
        <f t="shared" si="1"/>
        <v>1</v>
      </c>
      <c r="J136" s="12"/>
      <c r="K136" s="12"/>
    </row>
    <row r="137" ht="15.75" customHeight="1">
      <c r="A137" s="3" t="str">
        <f t="shared" si="0"/>
        <v>Miguel Santoro 1/5/2026</v>
      </c>
      <c r="B137" s="11" t="s">
        <v>68</v>
      </c>
      <c r="C137" s="4" t="s">
        <v>32</v>
      </c>
      <c r="D137" s="5">
        <v>0.42152777777777778</v>
      </c>
      <c r="E137" s="7">
        <f t="shared" si="2"/>
        <v>0.79402777777777778</v>
      </c>
      <c r="F137" s="6">
        <v>8.9399999999999995</v>
      </c>
      <c r="H137" s="7">
        <f>VLOOKUP(A137, Sheet3!$A:$E, 5, FALSE)</f>
        <v>0.79374999999999996</v>
      </c>
      <c r="I137" s="12" t="b">
        <f t="shared" si="1"/>
        <v>1</v>
      </c>
      <c r="J137" s="12"/>
      <c r="K137" s="12"/>
    </row>
    <row r="138" ht="15.75" customHeight="1">
      <c r="A138" s="3" t="str">
        <f t="shared" si="0"/>
        <v>Sophia Delgado 1/5/2026</v>
      </c>
      <c r="B138" s="11" t="s">
        <v>68</v>
      </c>
      <c r="C138" s="4" t="s">
        <v>36</v>
      </c>
      <c r="D138" s="5">
        <v>0.57708333333333328</v>
      </c>
      <c r="E138" s="7">
        <f t="shared" si="2"/>
        <v>0.79541666666666666</v>
      </c>
      <c r="F138" s="6">
        <v>5.2400000000000002</v>
      </c>
      <c r="H138" s="7">
        <f>VLOOKUP(A138, Sheet3!$A:$E, 5, FALSE)</f>
        <v>0.79513888888888884</v>
      </c>
      <c r="I138" s="12" t="b">
        <f t="shared" si="1"/>
        <v>1</v>
      </c>
      <c r="J138" s="12"/>
      <c r="K138" s="12"/>
    </row>
    <row r="139" ht="15.75" customHeight="1">
      <c r="A139" s="3" t="str">
        <f t="shared" si="0"/>
        <v>Javier Morales 1/6/2026</v>
      </c>
      <c r="B139" s="11" t="s">
        <v>69</v>
      </c>
      <c r="C139" s="4" t="s">
        <v>22</v>
      </c>
      <c r="D139" s="5">
        <v>0.3888888888888889</v>
      </c>
      <c r="E139" s="7">
        <f t="shared" si="2"/>
        <v>0.87597222222222215</v>
      </c>
      <c r="F139" s="6">
        <v>11.69</v>
      </c>
      <c r="H139" s="7">
        <f>VLOOKUP(A139, Sheet3!$A:$E, 5, FALSE)</f>
        <v>0.87638888888888888</v>
      </c>
      <c r="I139" s="12" t="b">
        <f t="shared" si="1"/>
        <v>0</v>
      </c>
      <c r="J139" s="12"/>
      <c r="K139" s="12"/>
    </row>
    <row r="140" ht="15.75" customHeight="1">
      <c r="A140" s="3" t="str">
        <f t="shared" si="0"/>
        <v>Lorenzo Castillo 1/6/2026</v>
      </c>
      <c r="B140" s="11" t="s">
        <v>69</v>
      </c>
      <c r="C140" s="4" t="s">
        <v>15</v>
      </c>
      <c r="D140" s="5">
        <v>0.3923611111111111</v>
      </c>
      <c r="E140" s="7">
        <f t="shared" si="2"/>
        <v>0.80027777777777775</v>
      </c>
      <c r="F140" s="6">
        <v>9.7899999999999991</v>
      </c>
      <c r="H140" s="7">
        <f>VLOOKUP(A140, Sheet3!$A:$E, 5, FALSE)</f>
        <v>0.80000000000000004</v>
      </c>
      <c r="I140" s="12" t="b">
        <f t="shared" si="1"/>
        <v>1</v>
      </c>
      <c r="J140" s="12"/>
      <c r="K140" s="12"/>
    </row>
    <row r="141" ht="15.75" customHeight="1">
      <c r="A141" s="3" t="str">
        <f t="shared" si="0"/>
        <v>Gabrielle Santos 1/6/2026</v>
      </c>
      <c r="B141" s="11" t="s">
        <v>69</v>
      </c>
      <c r="C141" s="4" t="s">
        <v>24</v>
      </c>
      <c r="D141" s="5">
        <v>0.40138888888888891</v>
      </c>
      <c r="E141" s="7">
        <f t="shared" si="2"/>
        <v>0.88555555555555554</v>
      </c>
      <c r="F141" s="6">
        <v>11.619999999999999</v>
      </c>
      <c r="H141" s="7">
        <f>VLOOKUP(A141, Sheet3!$A:$E, 5, FALSE)</f>
        <v>0.88541666666666663</v>
      </c>
      <c r="I141" s="12" t="b">
        <f t="shared" si="1"/>
        <v>1</v>
      </c>
      <c r="J141" s="12"/>
      <c r="K141" s="12"/>
    </row>
    <row r="142" ht="15.75" customHeight="1">
      <c r="A142" s="3" t="str">
        <f t="shared" si="0"/>
        <v>Daniel Alvarez 1/6/2026</v>
      </c>
      <c r="B142" s="11" t="s">
        <v>69</v>
      </c>
      <c r="C142" s="4" t="s">
        <v>34</v>
      </c>
      <c r="D142" s="5">
        <v>0.41319444444444442</v>
      </c>
      <c r="E142" s="7">
        <f t="shared" si="2"/>
        <v>0.80027777777777764</v>
      </c>
      <c r="F142" s="6">
        <v>9.2899999999999991</v>
      </c>
      <c r="H142" s="7">
        <f>VLOOKUP(A142, Sheet3!$A:$E, 5, FALSE)</f>
        <v>0.80069444444444449</v>
      </c>
      <c r="I142" s="12" t="b">
        <f t="shared" si="1"/>
        <v>0</v>
      </c>
      <c r="J142" s="12"/>
      <c r="K142" s="12"/>
    </row>
    <row r="143" ht="15.75" customHeight="1">
      <c r="A143" s="3" t="str">
        <f t="shared" si="0"/>
        <v>Sophia Delgado 1/6/2026</v>
      </c>
      <c r="B143" s="11" t="s">
        <v>69</v>
      </c>
      <c r="C143" s="4" t="s">
        <v>36</v>
      </c>
      <c r="D143" s="5">
        <v>0.46041666666666664</v>
      </c>
      <c r="E143" s="7">
        <f t="shared" si="2"/>
        <v>0.80041666666666667</v>
      </c>
      <c r="F143" s="6">
        <v>8.1600000000000001</v>
      </c>
      <c r="H143" s="7">
        <f>VLOOKUP(A143, Sheet3!$A:$E, 5, FALSE)</f>
        <v>0.80069444444444449</v>
      </c>
      <c r="I143" s="12" t="b">
        <f t="shared" si="1"/>
        <v>0</v>
      </c>
      <c r="J143" s="12"/>
      <c r="K143" s="12"/>
    </row>
    <row r="144" ht="15.75" customHeight="1">
      <c r="A144" s="3" t="str">
        <f t="shared" si="0"/>
        <v>Javier Morales 1/7/2026</v>
      </c>
      <c r="B144" s="11" t="s">
        <v>70</v>
      </c>
      <c r="C144" s="4" t="s">
        <v>22</v>
      </c>
      <c r="D144" s="5">
        <v>0.36736111111111114</v>
      </c>
      <c r="E144" s="7">
        <f t="shared" si="2"/>
        <v>0.85986111111111119</v>
      </c>
      <c r="F144" s="6">
        <v>11.82</v>
      </c>
      <c r="H144" s="7">
        <f>VLOOKUP(A144, Sheet3!$A:$E, 5, FALSE)</f>
        <v>0.85972222222222228</v>
      </c>
      <c r="I144" s="12" t="b">
        <f t="shared" si="1"/>
        <v>1</v>
      </c>
      <c r="J144" s="12"/>
      <c r="K144" s="12"/>
    </row>
    <row r="145" ht="15.75" customHeight="1">
      <c r="A145" s="3" t="str">
        <f t="shared" si="0"/>
        <v>Gabrielle Santos 1/7/2026</v>
      </c>
      <c r="B145" s="11" t="s">
        <v>70</v>
      </c>
      <c r="C145" s="4" t="s">
        <v>24</v>
      </c>
      <c r="D145" s="5">
        <v>0.41041666666666665</v>
      </c>
      <c r="E145" s="7">
        <f t="shared" si="2"/>
        <v>0.87416666666666676</v>
      </c>
      <c r="F145" s="6">
        <v>11.130000000000001</v>
      </c>
      <c r="H145" s="7">
        <f>VLOOKUP(A145, Sheet3!$A:$E, 5, FALSE)</f>
        <v>0.87430555555555556</v>
      </c>
      <c r="I145" s="12" t="b">
        <f t="shared" si="1"/>
        <v>0</v>
      </c>
      <c r="J145" s="12"/>
      <c r="K145" s="12"/>
    </row>
    <row r="146" ht="15.75" customHeight="1">
      <c r="A146" s="3" t="str">
        <f t="shared" si="0"/>
        <v>Daniel Alvarez 1/7/2026</v>
      </c>
      <c r="B146" s="11" t="s">
        <v>70</v>
      </c>
      <c r="C146" s="4" t="s">
        <v>34</v>
      </c>
      <c r="D146" s="5">
        <v>0.42222222222222222</v>
      </c>
      <c r="E146" s="7">
        <f t="shared" si="2"/>
        <v>0.87722222222222224</v>
      </c>
      <c r="F146" s="6">
        <v>10.92</v>
      </c>
      <c r="H146" s="7">
        <f>VLOOKUP(A146, Sheet3!$A:$E, 5, FALSE)</f>
        <v>0.87708333333333333</v>
      </c>
      <c r="I146" s="12" t="b">
        <f t="shared" si="1"/>
        <v>1</v>
      </c>
      <c r="J146" s="12"/>
      <c r="K146" s="12"/>
    </row>
    <row r="147" ht="15.75" customHeight="1">
      <c r="A147" s="3" t="str">
        <f t="shared" si="0"/>
        <v>Sophia Delgado 1/7/2026</v>
      </c>
      <c r="B147" s="11" t="s">
        <v>70</v>
      </c>
      <c r="C147" s="4" t="s">
        <v>36</v>
      </c>
      <c r="D147" s="5">
        <v>0.46319444444444446</v>
      </c>
      <c r="E147" s="7">
        <f t="shared" si="2"/>
        <v>0.8073611111111112</v>
      </c>
      <c r="F147" s="6">
        <v>8.2599999999999998</v>
      </c>
      <c r="H147" s="7">
        <f>VLOOKUP(A147, Sheet3!$A:$E, 5, FALSE)</f>
        <v>0.80694444444444446</v>
      </c>
      <c r="I147" s="12" t="b">
        <f t="shared" si="1"/>
        <v>1</v>
      </c>
      <c r="J147" s="12"/>
      <c r="K147" s="12"/>
    </row>
    <row r="148" ht="15.75" customHeight="1">
      <c r="A148" s="3" t="str">
        <f t="shared" si="0"/>
        <v>Miguel Santoro 1/7/2026</v>
      </c>
      <c r="B148" s="11" t="s">
        <v>70</v>
      </c>
      <c r="C148" s="4" t="s">
        <v>32</v>
      </c>
      <c r="D148" s="5">
        <v>0.49930555555555556</v>
      </c>
      <c r="E148" s="7">
        <f t="shared" si="2"/>
        <v>0.79680555555555554</v>
      </c>
      <c r="F148" s="6">
        <v>7.1399999999999997</v>
      </c>
      <c r="H148" s="7">
        <f>VLOOKUP(A148, Sheet3!$A:$E, 5, FALSE)</f>
        <v>0.79652777777777772</v>
      </c>
      <c r="I148" s="12" t="b">
        <f t="shared" si="1"/>
        <v>1</v>
      </c>
      <c r="J148" s="12"/>
      <c r="K148" s="12"/>
    </row>
    <row r="149" ht="15.75" customHeight="1">
      <c r="A149" s="3" t="str">
        <f t="shared" si="0"/>
        <v>Lorenzo Castillo 1/8/2026</v>
      </c>
      <c r="B149" s="11" t="s">
        <v>71</v>
      </c>
      <c r="C149" s="4" t="s">
        <v>15</v>
      </c>
      <c r="D149" s="5">
        <v>0.3840277777777778</v>
      </c>
      <c r="E149" s="7">
        <f t="shared" si="2"/>
        <v>0.84527777777777779</v>
      </c>
      <c r="F149" s="6">
        <v>11.07</v>
      </c>
      <c r="H149" s="7">
        <f>VLOOKUP(A149, Sheet3!$A:$E, 5, FALSE)</f>
        <v>0.84583333333333333</v>
      </c>
      <c r="I149" s="12" t="b">
        <f t="shared" si="1"/>
        <v>0</v>
      </c>
      <c r="J149" s="12"/>
      <c r="K149" s="12"/>
    </row>
    <row r="150" ht="15.75" customHeight="1">
      <c r="A150" s="3" t="str">
        <f t="shared" si="0"/>
        <v>Gabrielle Santos 1/8/2026</v>
      </c>
      <c r="B150" s="11" t="s">
        <v>71</v>
      </c>
      <c r="C150" s="4" t="s">
        <v>24</v>
      </c>
      <c r="D150" s="5">
        <v>0.40625</v>
      </c>
      <c r="E150" s="7">
        <f t="shared" si="2"/>
        <v>0.87583333333333324</v>
      </c>
      <c r="F150" s="6">
        <v>11.27</v>
      </c>
      <c r="H150" s="7">
        <f>VLOOKUP(A150, Sheet3!$A:$E, 5, FALSE)</f>
        <v>0.87569444444444444</v>
      </c>
      <c r="I150" s="12" t="b">
        <f t="shared" si="1"/>
        <v>1</v>
      </c>
      <c r="J150" s="12"/>
      <c r="K150" s="12"/>
    </row>
    <row r="151" ht="15.75" customHeight="1">
      <c r="A151" s="3" t="str">
        <f t="shared" si="0"/>
        <v>Adrian Velasco 1/8/2026</v>
      </c>
      <c r="B151" s="11" t="s">
        <v>71</v>
      </c>
      <c r="C151" s="4" t="s">
        <v>28</v>
      </c>
      <c r="D151" s="5">
        <v>0.41597222222222224</v>
      </c>
      <c r="E151" s="7">
        <f t="shared" si="2"/>
        <v>0.88347222222222221</v>
      </c>
      <c r="F151" s="6">
        <v>11.220000000000001</v>
      </c>
      <c r="H151" s="7">
        <f>VLOOKUP(A151, Sheet3!$A:$E, 5, FALSE)</f>
        <v>0.8833333333333333</v>
      </c>
      <c r="I151" s="12" t="b">
        <f t="shared" si="1"/>
        <v>1</v>
      </c>
      <c r="J151" s="12"/>
      <c r="K151" s="12"/>
    </row>
    <row r="152" ht="15.75" customHeight="1">
      <c r="A152" s="3" t="str">
        <f t="shared" si="0"/>
        <v>Camila Torres 1/8/2026</v>
      </c>
      <c r="B152" s="11" t="s">
        <v>71</v>
      </c>
      <c r="C152" s="4" t="s">
        <v>39</v>
      </c>
      <c r="D152" s="5">
        <v>0.42083333333333334</v>
      </c>
      <c r="E152" s="7">
        <f t="shared" si="2"/>
        <v>0.79749999999999999</v>
      </c>
      <c r="F152" s="6">
        <v>9.0399999999999991</v>
      </c>
      <c r="H152" s="7">
        <f>VLOOKUP(A152, Sheet3!$A:$E, 5, FALSE)</f>
        <v>0.79722222222222228</v>
      </c>
      <c r="I152" s="12" t="b">
        <f t="shared" si="1"/>
        <v>1</v>
      </c>
      <c r="J152" s="12"/>
      <c r="K152" s="12"/>
    </row>
    <row r="153" ht="15.75" customHeight="1">
      <c r="A153" s="3" t="str">
        <f t="shared" si="0"/>
        <v>Miguel Santoro 1/8/2026</v>
      </c>
      <c r="B153" s="11" t="s">
        <v>71</v>
      </c>
      <c r="C153" s="4" t="s">
        <v>32</v>
      </c>
      <c r="D153" s="5">
        <v>0.45416666666666666</v>
      </c>
      <c r="E153" s="7">
        <f t="shared" si="2"/>
        <v>0.80125000000000002</v>
      </c>
      <c r="F153" s="6">
        <v>8.3300000000000001</v>
      </c>
      <c r="H153" s="7">
        <f>VLOOKUP(A153, Sheet3!$A:$E, 5, FALSE)</f>
        <v>0.80138888888888893</v>
      </c>
      <c r="I153" s="12" t="b">
        <f t="shared" si="1"/>
        <v>0</v>
      </c>
      <c r="J153" s="12"/>
      <c r="K153" s="12"/>
    </row>
    <row r="154" ht="15.75" customHeight="1">
      <c r="A154" s="3" t="str">
        <f t="shared" si="0"/>
        <v>Sophia Delgado 1/8/2026</v>
      </c>
      <c r="B154" s="11" t="s">
        <v>71</v>
      </c>
      <c r="C154" s="4" t="s">
        <v>36</v>
      </c>
      <c r="D154" s="5">
        <v>0.45902777777777776</v>
      </c>
      <c r="E154" s="7">
        <f t="shared" si="2"/>
        <v>0.84569444444444442</v>
      </c>
      <c r="F154" s="6">
        <v>9.2799999999999994</v>
      </c>
      <c r="H154" s="7">
        <f>VLOOKUP(A154, Sheet3!$A:$E, 5, FALSE)</f>
        <v>0.84583333333333333</v>
      </c>
      <c r="I154" s="12" t="b">
        <f t="shared" si="1"/>
        <v>0</v>
      </c>
      <c r="J154" s="12"/>
      <c r="K154" s="12"/>
    </row>
    <row r="155" ht="15.75" customHeight="1">
      <c r="A155" s="3" t="str">
        <f t="shared" si="0"/>
        <v>Lorenzo Castillo 1/9/2026</v>
      </c>
      <c r="B155" s="11" t="s">
        <v>72</v>
      </c>
      <c r="C155" s="4" t="s">
        <v>15</v>
      </c>
      <c r="D155" s="5">
        <v>0.39166666666666666</v>
      </c>
      <c r="E155" s="7">
        <f t="shared" si="2"/>
        <v>0.79625000000000001</v>
      </c>
      <c r="F155" s="6">
        <v>9.7100000000000009</v>
      </c>
      <c r="H155" s="7">
        <f>VLOOKUP(A155, Sheet3!$A:$E, 5, FALSE)</f>
        <v>0.79652777777777772</v>
      </c>
      <c r="I155" s="12" t="b">
        <f t="shared" si="1"/>
        <v>0</v>
      </c>
      <c r="J155" s="12"/>
      <c r="K155" s="12"/>
    </row>
    <row r="156" ht="15.75" customHeight="1">
      <c r="A156" s="3" t="str">
        <f t="shared" si="0"/>
        <v>Javier Morales 1/9/2026</v>
      </c>
      <c r="B156" s="11" t="s">
        <v>72</v>
      </c>
      <c r="C156" s="4" t="s">
        <v>22</v>
      </c>
      <c r="D156" s="5">
        <v>0.39513888888888887</v>
      </c>
      <c r="E156" s="7">
        <f t="shared" si="2"/>
        <v>0.79597222222222219</v>
      </c>
      <c r="F156" s="6">
        <v>9.6199999999999992</v>
      </c>
      <c r="H156" s="7">
        <f>VLOOKUP(A156, Sheet3!$A:$E, 5, FALSE)</f>
        <v>0.79583333333333328</v>
      </c>
      <c r="I156" s="12" t="b">
        <f t="shared" si="1"/>
        <v>1</v>
      </c>
      <c r="J156" s="12"/>
      <c r="K156" s="12"/>
    </row>
    <row r="157" ht="15.75" customHeight="1">
      <c r="A157" s="3" t="str">
        <f t="shared" si="0"/>
        <v>Sophia Delgado 1/9/2026</v>
      </c>
      <c r="B157" s="11" t="s">
        <v>72</v>
      </c>
      <c r="C157" s="4" t="s">
        <v>36</v>
      </c>
      <c r="D157" s="5">
        <v>0.40625</v>
      </c>
      <c r="E157" s="7">
        <f t="shared" si="2"/>
        <v>0.875</v>
      </c>
      <c r="F157" s="6">
        <v>11.25</v>
      </c>
      <c r="H157" s="7">
        <f>VLOOKUP(A157, Sheet3!$A:$E, 5, FALSE)</f>
        <v>0.875</v>
      </c>
      <c r="I157" s="12" t="b">
        <f t="shared" si="1"/>
        <v>1</v>
      </c>
      <c r="J157" s="12"/>
      <c r="K157" s="12"/>
    </row>
    <row r="158" ht="15.75" customHeight="1">
      <c r="A158" s="3" t="str">
        <f t="shared" si="0"/>
        <v>Adrian Velasco 1/9/2026</v>
      </c>
      <c r="B158" s="11" t="s">
        <v>72</v>
      </c>
      <c r="C158" s="4" t="s">
        <v>28</v>
      </c>
      <c r="D158" s="5">
        <v>0.41458333333333336</v>
      </c>
      <c r="E158" s="7">
        <f t="shared" si="2"/>
        <v>0.91500000000000004</v>
      </c>
      <c r="F158" s="6">
        <v>12.01</v>
      </c>
      <c r="H158" s="7">
        <f>VLOOKUP(A158, Sheet3!$A:$E, 5, FALSE)</f>
        <v>0.91527777777777775</v>
      </c>
      <c r="I158" s="12" t="b">
        <f t="shared" si="1"/>
        <v>0</v>
      </c>
      <c r="J158" s="12"/>
      <c r="K158" s="12"/>
    </row>
    <row r="159" ht="15.75" customHeight="1">
      <c r="A159" s="3" t="str">
        <f t="shared" si="0"/>
        <v>Miguel Santoro 1/9/2026</v>
      </c>
      <c r="B159" s="11" t="s">
        <v>72</v>
      </c>
      <c r="C159" s="4" t="s">
        <v>32</v>
      </c>
      <c r="D159" s="5">
        <v>0.41944444444444445</v>
      </c>
      <c r="E159" s="7">
        <f t="shared" si="2"/>
        <v>0.79486111111111113</v>
      </c>
      <c r="F159" s="6">
        <v>9.0099999999999998</v>
      </c>
      <c r="H159" s="7">
        <f>VLOOKUP(A159, Sheet3!$A:$E, 5, FALSE)</f>
        <v>0.79513888888888884</v>
      </c>
      <c r="I159" s="12" t="b">
        <f t="shared" si="1"/>
        <v>0</v>
      </c>
      <c r="J159" s="12"/>
      <c r="K159" s="12"/>
    </row>
    <row r="160" ht="15.75" customHeight="1">
      <c r="A160" s="3" t="str">
        <f t="shared" si="0"/>
        <v>Daniel Alvarez 1/9/2026</v>
      </c>
      <c r="B160" s="11" t="s">
        <v>72</v>
      </c>
      <c r="C160" s="4" t="s">
        <v>34</v>
      </c>
      <c r="D160" s="5">
        <v>0.4201388888888889</v>
      </c>
      <c r="E160" s="7">
        <f t="shared" si="2"/>
        <v>0.79638888888888881</v>
      </c>
      <c r="F160" s="6">
        <v>9.0299999999999994</v>
      </c>
      <c r="H160" s="7">
        <f>VLOOKUP(A160, Sheet3!$A:$E, 5, FALSE)</f>
        <v>0.79652777777777772</v>
      </c>
      <c r="I160" s="12" t="b">
        <f t="shared" si="1"/>
        <v>0</v>
      </c>
      <c r="J160" s="12"/>
      <c r="K160" s="12"/>
    </row>
    <row r="161" ht="15.75" customHeight="1">
      <c r="A161" s="3" t="str">
        <f t="shared" si="0"/>
        <v>Camila Torres 1/9/2026</v>
      </c>
      <c r="B161" s="11" t="s">
        <v>72</v>
      </c>
      <c r="C161" s="4" t="s">
        <v>39</v>
      </c>
      <c r="D161" s="5">
        <v>0.4201388888888889</v>
      </c>
      <c r="E161" s="7">
        <f t="shared" si="2"/>
        <v>0.7943055555555556</v>
      </c>
      <c r="F161" s="6">
        <v>8.9800000000000004</v>
      </c>
      <c r="H161" s="7">
        <f>VLOOKUP(A161, Sheet3!$A:$E, 5, FALSE)</f>
        <v>0.7944444444444444</v>
      </c>
      <c r="I161" s="12" t="b">
        <f t="shared" si="1"/>
        <v>0</v>
      </c>
      <c r="J161" s="12"/>
      <c r="K161" s="12"/>
    </row>
    <row r="162" ht="15.75" customHeight="1">
      <c r="A162" s="3" t="str">
        <f t="shared" si="0"/>
        <v>Miguel Santoro 1/9/2026</v>
      </c>
      <c r="B162" s="11" t="s">
        <v>72</v>
      </c>
      <c r="C162" s="4" t="s">
        <v>32</v>
      </c>
      <c r="D162" s="5">
        <v>0.79722222222222228</v>
      </c>
      <c r="E162" s="7">
        <f t="shared" si="2"/>
        <v>0.79722222222222228</v>
      </c>
      <c r="F162" s="6">
        <v>0</v>
      </c>
      <c r="H162" s="7">
        <f>VLOOKUP(A162, Sheet3!$A:$E, 5, FALSE)</f>
        <v>0.79513888888888884</v>
      </c>
      <c r="I162" s="12" t="b">
        <f t="shared" si="1"/>
        <v>0</v>
      </c>
      <c r="J162" s="12"/>
      <c r="K162" s="12"/>
    </row>
    <row r="163" ht="15.75" customHeight="1">
      <c r="A163" s="3" t="str">
        <f t="shared" si="0"/>
        <v>Javier Morales 1/10/2026</v>
      </c>
      <c r="B163" s="11" t="s">
        <v>73</v>
      </c>
      <c r="C163" s="4" t="s">
        <v>22</v>
      </c>
      <c r="D163" s="5">
        <v>0.38541666666666669</v>
      </c>
      <c r="E163" s="7">
        <f t="shared" si="2"/>
        <v>0.79416666666666669</v>
      </c>
      <c r="F163" s="6">
        <v>9.8100000000000005</v>
      </c>
      <c r="H163" s="7">
        <f>VLOOKUP(A163, Sheet3!$A:$E, 5, FALSE)</f>
        <v>0.7944444444444444</v>
      </c>
      <c r="I163" s="12" t="b">
        <f t="shared" si="1"/>
        <v>0</v>
      </c>
      <c r="J163" s="12"/>
      <c r="K163" s="12"/>
    </row>
    <row r="164" ht="15.75" customHeight="1">
      <c r="A164" s="3" t="str">
        <f t="shared" si="0"/>
        <v>Lorenzo Castillo 1/10/2026</v>
      </c>
      <c r="B164" s="11" t="s">
        <v>73</v>
      </c>
      <c r="C164" s="4" t="s">
        <v>15</v>
      </c>
      <c r="D164" s="5">
        <v>0.40208333333333335</v>
      </c>
      <c r="E164" s="7">
        <f t="shared" si="2"/>
        <v>0.79374999999999996</v>
      </c>
      <c r="F164" s="6">
        <v>9.4000000000000004</v>
      </c>
      <c r="H164" s="7">
        <f>VLOOKUP(A164, Sheet3!$A:$E, 5, FALSE)</f>
        <v>0.79374999999999996</v>
      </c>
      <c r="I164" s="12" t="b">
        <f t="shared" si="1"/>
        <v>1</v>
      </c>
      <c r="J164" s="12"/>
      <c r="K164" s="12"/>
    </row>
    <row r="165" ht="15.75" customHeight="1">
      <c r="A165" s="3" t="str">
        <f t="shared" si="0"/>
        <v>Gabrielle Santos 1/10/2026</v>
      </c>
      <c r="B165" s="11" t="s">
        <v>73</v>
      </c>
      <c r="C165" s="4" t="s">
        <v>24</v>
      </c>
      <c r="D165" s="5">
        <v>0.40902777777777777</v>
      </c>
      <c r="E165" s="7">
        <f t="shared" si="2"/>
        <v>0.87861111111111101</v>
      </c>
      <c r="F165" s="6">
        <v>11.27</v>
      </c>
      <c r="H165" s="7">
        <f>VLOOKUP(A165, Sheet3!$A:$E, 5, FALSE)</f>
        <v>0.87847222222222221</v>
      </c>
      <c r="I165" s="12" t="b">
        <f t="shared" si="1"/>
        <v>1</v>
      </c>
      <c r="J165" s="12"/>
      <c r="K165" s="12"/>
    </row>
    <row r="166" ht="15.75" customHeight="1">
      <c r="A166" s="3" t="str">
        <f t="shared" si="0"/>
        <v>Adrian Velasco 1/10/2026</v>
      </c>
      <c r="B166" s="11" t="s">
        <v>73</v>
      </c>
      <c r="C166" s="4" t="s">
        <v>28</v>
      </c>
      <c r="D166" s="5">
        <v>0.41319444444444442</v>
      </c>
      <c r="E166" s="7">
        <f t="shared" si="2"/>
        <v>0.91527777777777775</v>
      </c>
      <c r="F166" s="6">
        <v>12.050000000000001</v>
      </c>
      <c r="H166" s="7">
        <f>VLOOKUP(A166, Sheet3!$A:$E, 5, FALSE)</f>
        <v>0.91597222222222219</v>
      </c>
      <c r="I166" s="12" t="b">
        <f t="shared" si="1"/>
        <v>0</v>
      </c>
      <c r="J166" s="12"/>
      <c r="K166" s="12"/>
    </row>
    <row r="167" ht="15.75" customHeight="1">
      <c r="A167" s="3" t="str">
        <f t="shared" si="0"/>
        <v>Miguel Santoro 1/10/2026</v>
      </c>
      <c r="B167" s="11" t="s">
        <v>73</v>
      </c>
      <c r="C167" s="4" t="s">
        <v>32</v>
      </c>
      <c r="D167" s="5">
        <v>0.43680555555555556</v>
      </c>
      <c r="E167" s="7">
        <f t="shared" si="2"/>
        <v>0.79347222222222225</v>
      </c>
      <c r="F167" s="6">
        <v>8.5600000000000005</v>
      </c>
      <c r="H167" s="7">
        <f>VLOOKUP(A167, Sheet3!$A:$E, 5, FALSE)</f>
        <v>0.79374999999999996</v>
      </c>
      <c r="I167" s="12" t="b">
        <f t="shared" si="1"/>
        <v>0</v>
      </c>
      <c r="J167" s="12"/>
      <c r="K167" s="12"/>
    </row>
    <row r="168" ht="15.75" customHeight="1">
      <c r="A168" s="3" t="str">
        <f t="shared" si="0"/>
        <v>Camila Torres 1/10/2026</v>
      </c>
      <c r="B168" s="11" t="s">
        <v>73</v>
      </c>
      <c r="C168" s="4" t="s">
        <v>39</v>
      </c>
      <c r="D168" s="5">
        <v>0.4548611111111111</v>
      </c>
      <c r="E168" s="7">
        <f t="shared" si="2"/>
        <v>0.93736111111111109</v>
      </c>
      <c r="F168" s="6">
        <v>11.58</v>
      </c>
      <c r="H168" s="7">
        <f>VLOOKUP(A168, Sheet3!$A:$E, 5, FALSE)</f>
        <v>0.9375</v>
      </c>
      <c r="I168" s="12" t="b">
        <f t="shared" si="1"/>
        <v>0</v>
      </c>
      <c r="J168" s="12"/>
      <c r="K168" s="12"/>
    </row>
    <row r="169" ht="15.75" customHeight="1">
      <c r="A169" s="3" t="str">
        <f t="shared" si="0"/>
        <v>Sophia Delgado 1/10/2026</v>
      </c>
      <c r="B169" s="11" t="s">
        <v>73</v>
      </c>
      <c r="C169" s="4" t="s">
        <v>36</v>
      </c>
      <c r="D169" s="5">
        <v>0.46736111111111112</v>
      </c>
      <c r="E169" s="7">
        <f t="shared" si="2"/>
        <v>0.73944444444444446</v>
      </c>
      <c r="F169" s="6">
        <v>6.5300000000000002</v>
      </c>
      <c r="H169" s="7">
        <f>VLOOKUP(A169, Sheet3!$A:$E, 5, FALSE)</f>
        <v>0.73888888888888893</v>
      </c>
      <c r="I169" s="12" t="b">
        <f t="shared" si="1"/>
        <v>1</v>
      </c>
      <c r="J169" s="12"/>
      <c r="K169" s="12"/>
    </row>
    <row r="170" ht="15.75" customHeight="1">
      <c r="B170" s="13"/>
    </row>
    <row r="171" ht="15.75" customHeight="1">
      <c r="B171" s="13"/>
    </row>
    <row r="172" ht="15.75" customHeight="1">
      <c r="B172" s="13"/>
    </row>
    <row r="173" ht="15.75" customHeight="1">
      <c r="B173" s="13"/>
    </row>
    <row r="174" ht="15.75" customHeight="1">
      <c r="B174" s="13"/>
    </row>
    <row r="175" ht="15.75" customHeight="1">
      <c r="B175" s="13"/>
    </row>
    <row r="176" ht="15.75" customHeight="1">
      <c r="B176" s="13"/>
    </row>
    <row r="177" ht="15.75" customHeight="1">
      <c r="B177" s="13"/>
    </row>
    <row r="178" ht="15.75" customHeight="1">
      <c r="B178" s="13"/>
    </row>
    <row r="179" ht="15.75" customHeight="1">
      <c r="B179" s="13"/>
    </row>
    <row r="180" ht="15.75" customHeight="1">
      <c r="B180" s="13"/>
    </row>
    <row r="181" ht="15.75" customHeight="1">
      <c r="B181" s="13"/>
    </row>
    <row r="182" ht="15.75" customHeight="1">
      <c r="B182" s="13"/>
    </row>
    <row r="183" ht="15.75" customHeight="1">
      <c r="B183" s="13"/>
    </row>
    <row r="184" ht="15.75" customHeight="1">
      <c r="B184" s="13"/>
    </row>
    <row r="185" ht="15.75" customHeight="1">
      <c r="B185" s="13"/>
    </row>
    <row r="186" ht="15.75" customHeight="1">
      <c r="B186" s="13"/>
    </row>
    <row r="187" ht="15.75" customHeight="1">
      <c r="B187" s="13"/>
    </row>
    <row r="188" ht="15.75" customHeight="1">
      <c r="B188" s="13"/>
    </row>
    <row r="189" ht="15.75" customHeight="1">
      <c r="B189" s="13"/>
    </row>
    <row r="190" ht="15.75" customHeight="1">
      <c r="B190" s="13"/>
    </row>
    <row r="191" ht="15.75" customHeight="1">
      <c r="B191" s="13"/>
    </row>
    <row r="192" ht="15.75" customHeight="1">
      <c r="B192" s="13"/>
    </row>
    <row r="193" ht="15.75" customHeight="1">
      <c r="B193" s="13"/>
    </row>
    <row r="194" ht="15.75" customHeight="1">
      <c r="B194" s="13"/>
    </row>
    <row r="195" ht="15.75" customHeight="1">
      <c r="B195" s="13"/>
    </row>
    <row r="196" ht="15.75" customHeight="1">
      <c r="B196" s="13"/>
    </row>
    <row r="197" ht="15.75" customHeight="1">
      <c r="B197" s="13"/>
    </row>
    <row r="198" ht="15.75" customHeight="1">
      <c r="B198" s="13"/>
    </row>
    <row r="199" ht="15.75" customHeight="1">
      <c r="B199" s="13"/>
    </row>
    <row r="200" ht="15.75" customHeight="1">
      <c r="B200" s="13"/>
    </row>
    <row r="201" ht="15.75" customHeight="1">
      <c r="B201" s="13"/>
    </row>
    <row r="202" ht="15.75" customHeight="1">
      <c r="B202" s="13"/>
    </row>
    <row r="203" ht="15.75" customHeight="1">
      <c r="B203" s="13"/>
    </row>
    <row r="204" ht="15.75" customHeight="1">
      <c r="B204" s="13"/>
    </row>
    <row r="205" ht="15.75" customHeight="1">
      <c r="B205" s="13"/>
    </row>
    <row r="206" ht="15.75" customHeight="1">
      <c r="B206" s="13"/>
    </row>
    <row r="207" ht="15.75" customHeight="1">
      <c r="B207" s="13"/>
    </row>
    <row r="208" ht="15.75" customHeight="1">
      <c r="B208" s="13"/>
    </row>
    <row r="209" ht="15.75" customHeight="1">
      <c r="B209" s="13"/>
    </row>
    <row r="210" ht="15.75" customHeight="1">
      <c r="B210" s="13"/>
    </row>
    <row r="211" ht="15.75" customHeight="1">
      <c r="B211" s="13"/>
    </row>
    <row r="212" ht="15.75" customHeight="1">
      <c r="B212" s="13"/>
    </row>
    <row r="213" ht="15.75" customHeight="1">
      <c r="B213" s="13"/>
    </row>
    <row r="214" ht="15.75" customHeight="1">
      <c r="B214" s="13"/>
    </row>
    <row r="215" ht="15.75" customHeight="1">
      <c r="B215" s="13"/>
    </row>
    <row r="216" ht="15.75" customHeight="1">
      <c r="B216" s="13"/>
    </row>
    <row r="217" ht="15.75" customHeight="1">
      <c r="B217" s="13"/>
    </row>
    <row r="218" ht="15.75" customHeight="1">
      <c r="B218" s="13"/>
    </row>
    <row r="219" ht="15.75" customHeight="1">
      <c r="B219" s="13"/>
    </row>
    <row r="220" ht="15.75" customHeight="1">
      <c r="B220" s="13"/>
    </row>
    <row r="221" ht="15.75" customHeight="1">
      <c r="B221" s="13"/>
    </row>
    <row r="222" ht="15.75" customHeight="1">
      <c r="B222" s="13"/>
    </row>
    <row r="223" ht="15.75" customHeight="1">
      <c r="B223" s="13"/>
    </row>
    <row r="224" ht="15.75" customHeight="1">
      <c r="B224" s="13"/>
    </row>
    <row r="225" ht="15.75" customHeight="1">
      <c r="B225" s="13"/>
    </row>
    <row r="226" ht="15.75" customHeight="1">
      <c r="B226" s="13"/>
    </row>
    <row r="227" ht="15.75" customHeight="1">
      <c r="B227" s="13"/>
    </row>
    <row r="228" ht="15.75" customHeight="1">
      <c r="B228" s="13"/>
    </row>
    <row r="229" ht="15.75" customHeight="1">
      <c r="B229" s="13"/>
    </row>
    <row r="230" ht="15.75" customHeight="1">
      <c r="B230" s="13"/>
    </row>
    <row r="231" ht="15.75" customHeight="1">
      <c r="B231" s="13"/>
    </row>
    <row r="232" ht="15.75" customHeight="1">
      <c r="B232" s="13"/>
    </row>
    <row r="233" ht="15.75" customHeight="1">
      <c r="B233" s="13"/>
    </row>
    <row r="234" ht="15.75" customHeight="1">
      <c r="B234" s="13"/>
    </row>
    <row r="235" ht="15.75" customHeight="1">
      <c r="B235" s="13"/>
    </row>
    <row r="236" ht="15.75" customHeight="1">
      <c r="B236" s="13"/>
    </row>
    <row r="237" ht="15.75" customHeight="1">
      <c r="B237" s="13"/>
    </row>
    <row r="238" ht="15.75" customHeight="1">
      <c r="B238" s="13"/>
    </row>
    <row r="239" ht="15.75" customHeight="1">
      <c r="B239" s="13"/>
    </row>
    <row r="240" ht="15.75" customHeight="1">
      <c r="B240" s="13"/>
    </row>
    <row r="241" ht="15.75" customHeight="1">
      <c r="B241" s="13"/>
    </row>
    <row r="242" ht="15.75" customHeight="1">
      <c r="B242" s="13"/>
    </row>
    <row r="243" ht="15.75" customHeight="1">
      <c r="B243" s="13"/>
    </row>
    <row r="244" ht="15.75" customHeight="1">
      <c r="B244" s="13"/>
    </row>
    <row r="245" ht="15.75" customHeight="1">
      <c r="B245" s="13"/>
    </row>
    <row r="246" ht="15.75" customHeight="1">
      <c r="B246" s="13"/>
    </row>
    <row r="247" ht="15.75" customHeight="1">
      <c r="B247" s="13"/>
    </row>
    <row r="248" ht="15.75" customHeight="1">
      <c r="B248" s="13"/>
    </row>
    <row r="249" ht="15.75" customHeight="1">
      <c r="B249" s="13"/>
    </row>
    <row r="250" ht="15.75" customHeight="1">
      <c r="B250" s="13"/>
    </row>
    <row r="251" ht="15.75" customHeight="1">
      <c r="B251" s="13"/>
    </row>
    <row r="252" ht="15.75" customHeight="1">
      <c r="B252" s="13"/>
    </row>
    <row r="253" ht="15.75" customHeight="1">
      <c r="B253" s="13"/>
    </row>
    <row r="254" ht="15.75" customHeight="1">
      <c r="B254" s="13"/>
    </row>
    <row r="255" ht="15.75" customHeight="1">
      <c r="B255" s="13"/>
    </row>
    <row r="256" ht="15.75" customHeight="1">
      <c r="B256" s="13"/>
    </row>
    <row r="257" ht="15.75" customHeight="1">
      <c r="B257" s="13"/>
    </row>
    <row r="258" ht="15.75" customHeight="1">
      <c r="B258" s="13"/>
    </row>
    <row r="259" ht="15.75" customHeight="1">
      <c r="B259" s="13"/>
    </row>
    <row r="260" ht="15.75" customHeight="1">
      <c r="B260" s="13"/>
    </row>
    <row r="261" ht="15.75" customHeight="1">
      <c r="B261" s="13"/>
    </row>
    <row r="262" ht="15.75" customHeight="1">
      <c r="B262" s="13"/>
    </row>
    <row r="263" ht="15.75" customHeight="1">
      <c r="B263" s="13"/>
    </row>
    <row r="264" ht="15.75" customHeight="1">
      <c r="B264" s="13"/>
    </row>
    <row r="265" ht="15.75" customHeight="1">
      <c r="B265" s="13"/>
    </row>
    <row r="266" ht="15.75" customHeight="1">
      <c r="B266" s="13"/>
    </row>
    <row r="267" ht="15.75" customHeight="1">
      <c r="B267" s="13"/>
    </row>
    <row r="268" ht="15.75" customHeight="1">
      <c r="B268" s="13"/>
    </row>
    <row r="269" ht="15.75" customHeight="1">
      <c r="B269" s="13"/>
    </row>
    <row r="270" ht="15.75" customHeight="1">
      <c r="B270" s="13"/>
    </row>
    <row r="271" ht="15.75" customHeight="1">
      <c r="B271" s="13"/>
    </row>
    <row r="272" ht="15.75" customHeight="1">
      <c r="B272" s="13"/>
    </row>
    <row r="273" ht="15.75" customHeight="1">
      <c r="B273" s="13"/>
    </row>
    <row r="274" ht="15.75" customHeight="1">
      <c r="B274" s="13"/>
    </row>
    <row r="275" ht="15.75" customHeight="1">
      <c r="B275" s="13"/>
    </row>
    <row r="276" ht="15.75" customHeight="1">
      <c r="B276" s="13"/>
    </row>
    <row r="277" ht="15.75" customHeight="1">
      <c r="B277" s="13"/>
    </row>
    <row r="278" ht="15.75" customHeight="1">
      <c r="B278" s="13"/>
    </row>
    <row r="279" ht="15.75" customHeight="1">
      <c r="B279" s="13"/>
    </row>
    <row r="280" ht="15.75" customHeight="1">
      <c r="B280" s="13"/>
    </row>
    <row r="281" ht="15.75" customHeight="1">
      <c r="B281" s="13"/>
    </row>
    <row r="282" ht="15.75" customHeight="1">
      <c r="B282" s="13"/>
    </row>
    <row r="283" ht="15.75" customHeight="1">
      <c r="B283" s="13"/>
    </row>
    <row r="284" ht="15.75" customHeight="1">
      <c r="B284" s="13"/>
    </row>
    <row r="285" ht="15.75" customHeight="1">
      <c r="B285" s="13"/>
    </row>
    <row r="286" ht="15.75" customHeight="1">
      <c r="B286" s="13"/>
    </row>
    <row r="287" ht="15.75" customHeight="1">
      <c r="B287" s="13"/>
    </row>
    <row r="288" ht="15.75" customHeight="1">
      <c r="B288" s="13"/>
    </row>
    <row r="289" ht="15.75" customHeight="1">
      <c r="B289" s="13"/>
    </row>
    <row r="290" ht="15.75" customHeight="1">
      <c r="B290" s="13"/>
    </row>
    <row r="291" ht="15.75" customHeight="1">
      <c r="B291" s="13"/>
    </row>
    <row r="292" ht="15.75" customHeight="1">
      <c r="B292" s="13"/>
    </row>
    <row r="293" ht="15.75" customHeight="1">
      <c r="B293" s="13"/>
    </row>
    <row r="294" ht="15.75" customHeight="1">
      <c r="B294" s="13"/>
    </row>
    <row r="295" ht="15.75" customHeight="1">
      <c r="B295" s="13"/>
    </row>
    <row r="296" ht="15.75" customHeight="1">
      <c r="B296" s="13"/>
    </row>
    <row r="297" ht="15.75" customHeight="1">
      <c r="B297" s="13"/>
    </row>
    <row r="298" ht="15.75" customHeight="1">
      <c r="B298" s="13"/>
    </row>
    <row r="299" ht="15.75" customHeight="1">
      <c r="B299" s="13"/>
    </row>
    <row r="300" ht="15.75" customHeight="1">
      <c r="B300" s="13"/>
    </row>
    <row r="301" ht="15.75" customHeight="1">
      <c r="B301" s="13"/>
    </row>
    <row r="302" ht="15.75" customHeight="1">
      <c r="B302" s="13"/>
    </row>
    <row r="303" ht="15.75" customHeight="1">
      <c r="B303" s="13"/>
    </row>
    <row r="304" ht="15.75" customHeight="1">
      <c r="B304" s="13"/>
    </row>
    <row r="305" ht="15.75" customHeight="1">
      <c r="B305" s="13"/>
    </row>
    <row r="306" ht="15.75" customHeight="1">
      <c r="B306" s="13"/>
    </row>
    <row r="307" ht="15.75" customHeight="1">
      <c r="B307" s="13"/>
    </row>
    <row r="308" ht="15.75" customHeight="1">
      <c r="B308" s="13"/>
    </row>
    <row r="309" ht="15.75" customHeight="1">
      <c r="B309" s="13"/>
    </row>
    <row r="310" ht="15.75" customHeight="1">
      <c r="B310" s="13"/>
    </row>
    <row r="311" ht="15.75" customHeight="1">
      <c r="B311" s="13"/>
    </row>
    <row r="312" ht="15.75" customHeight="1">
      <c r="B312" s="13"/>
    </row>
    <row r="313" ht="15.75" customHeight="1">
      <c r="B313" s="13"/>
    </row>
    <row r="314" ht="15.75" customHeight="1">
      <c r="B314" s="13"/>
    </row>
    <row r="315" ht="15.75" customHeight="1">
      <c r="B315" s="13"/>
    </row>
    <row r="316" ht="15.75" customHeight="1">
      <c r="B316" s="13"/>
    </row>
    <row r="317" ht="15.75" customHeight="1">
      <c r="B317" s="13"/>
    </row>
    <row r="318" ht="15.75" customHeight="1">
      <c r="B318" s="13"/>
    </row>
    <row r="319" ht="15.75" customHeight="1">
      <c r="B319" s="13"/>
    </row>
    <row r="320" ht="15.75" customHeight="1">
      <c r="B320" s="13"/>
    </row>
    <row r="321" ht="15.75" customHeight="1">
      <c r="B321" s="13"/>
    </row>
    <row r="322" ht="15.75" customHeight="1">
      <c r="B322" s="13"/>
    </row>
    <row r="323" ht="15.75" customHeight="1">
      <c r="B323" s="13"/>
    </row>
    <row r="324" ht="15.75" customHeight="1">
      <c r="B324" s="13"/>
    </row>
    <row r="325" ht="15.75" customHeight="1">
      <c r="B325" s="13"/>
    </row>
    <row r="326" ht="15.75" customHeight="1">
      <c r="B326" s="13"/>
    </row>
    <row r="327" ht="15.75" customHeight="1">
      <c r="B327" s="13"/>
    </row>
    <row r="328" ht="15.75" customHeight="1">
      <c r="B328" s="13"/>
    </row>
    <row r="329" ht="15.75" customHeight="1">
      <c r="B329" s="13"/>
    </row>
    <row r="330" ht="15.75" customHeight="1">
      <c r="B330" s="13"/>
    </row>
    <row r="331" ht="15.75" customHeight="1">
      <c r="B331" s="13"/>
    </row>
    <row r="332" ht="15.75" customHeight="1">
      <c r="B332" s="13"/>
    </row>
    <row r="333" ht="15.75" customHeight="1">
      <c r="B333" s="13"/>
    </row>
    <row r="334" ht="15.75" customHeight="1">
      <c r="B334" s="13"/>
    </row>
    <row r="335" ht="15.75" customHeight="1">
      <c r="B335" s="13"/>
    </row>
    <row r="336" ht="15.75" customHeight="1">
      <c r="B336" s="13"/>
    </row>
    <row r="337" ht="15.75" customHeight="1">
      <c r="B337" s="13"/>
    </row>
    <row r="338" ht="15.75" customHeight="1">
      <c r="B338" s="13"/>
    </row>
    <row r="339" ht="15.75" customHeight="1">
      <c r="B339" s="13"/>
    </row>
    <row r="340" ht="15.75" customHeight="1">
      <c r="B340" s="13"/>
    </row>
    <row r="341" ht="15.75" customHeight="1">
      <c r="B341" s="13"/>
    </row>
    <row r="342" ht="15.75" customHeight="1">
      <c r="B342" s="13"/>
    </row>
    <row r="343" ht="15.75" customHeight="1">
      <c r="B343" s="13"/>
    </row>
    <row r="344" ht="15.75" customHeight="1">
      <c r="B344" s="13"/>
    </row>
    <row r="345" ht="15.75" customHeight="1">
      <c r="B345" s="13"/>
    </row>
    <row r="346" ht="15.75" customHeight="1">
      <c r="B346" s="13"/>
    </row>
    <row r="347" ht="15.75" customHeight="1">
      <c r="B347" s="13"/>
    </row>
    <row r="348" ht="15.75" customHeight="1">
      <c r="B348" s="13"/>
    </row>
    <row r="349" ht="15.75" customHeight="1">
      <c r="B349" s="13"/>
    </row>
    <row r="350" ht="15.75" customHeight="1">
      <c r="B350" s="13"/>
    </row>
    <row r="351" ht="15.75" customHeight="1">
      <c r="B351" s="13"/>
    </row>
    <row r="352" ht="15.75" customHeight="1">
      <c r="B352" s="13"/>
    </row>
    <row r="353" ht="15.75" customHeight="1">
      <c r="B353" s="13"/>
    </row>
    <row r="354" ht="15.75" customHeight="1">
      <c r="B354" s="13"/>
    </row>
    <row r="355" ht="15.75" customHeight="1">
      <c r="B355" s="13"/>
    </row>
    <row r="356" ht="15.75" customHeight="1">
      <c r="B356" s="13"/>
    </row>
    <row r="357" ht="15.75" customHeight="1">
      <c r="B357" s="13"/>
    </row>
    <row r="358" ht="15.75" customHeight="1">
      <c r="B358" s="13"/>
    </row>
    <row r="359" ht="15.75" customHeight="1">
      <c r="B359" s="13"/>
    </row>
    <row r="360" ht="15.75" customHeight="1">
      <c r="B360" s="13"/>
    </row>
    <row r="361" ht="15.75" customHeight="1">
      <c r="B361" s="13"/>
    </row>
    <row r="362" ht="15.75" customHeight="1">
      <c r="B362" s="13"/>
    </row>
    <row r="363" ht="15.75" customHeight="1">
      <c r="B363" s="13"/>
    </row>
    <row r="364" ht="15.75" customHeight="1">
      <c r="B364" s="13"/>
    </row>
    <row r="365" ht="15.75" customHeight="1">
      <c r="B365" s="13"/>
    </row>
    <row r="366" ht="15.75" customHeight="1">
      <c r="B366" s="13"/>
    </row>
    <row r="367" ht="15.75" customHeight="1">
      <c r="B367" s="13"/>
    </row>
    <row r="368" ht="15.75" customHeight="1">
      <c r="B368" s="13"/>
    </row>
    <row r="369" ht="15.75" customHeight="1">
      <c r="B369" s="13"/>
    </row>
    <row r="370" ht="15.75" customHeight="1">
      <c r="B370" s="13"/>
    </row>
    <row r="371" ht="15.75" customHeight="1">
      <c r="B371" s="13"/>
    </row>
    <row r="372" ht="15.75" customHeight="1">
      <c r="B372" s="13"/>
    </row>
    <row r="373" ht="15.75" customHeight="1">
      <c r="B373" s="13"/>
    </row>
    <row r="374" ht="15.75" customHeight="1">
      <c r="B374" s="13"/>
    </row>
    <row r="375" ht="15.75" customHeight="1">
      <c r="B375" s="13"/>
    </row>
    <row r="376" ht="15.75" customHeight="1">
      <c r="B376" s="13"/>
    </row>
    <row r="377" ht="15.75" customHeight="1">
      <c r="B377" s="13"/>
    </row>
    <row r="378" ht="15.75" customHeight="1">
      <c r="B378" s="13"/>
    </row>
    <row r="379" ht="15.75" customHeight="1">
      <c r="B379" s="13"/>
    </row>
    <row r="380" ht="15.75" customHeight="1">
      <c r="B380" s="13"/>
    </row>
    <row r="381" ht="15.75" customHeight="1">
      <c r="B381" s="13"/>
    </row>
    <row r="382" ht="15.75" customHeight="1">
      <c r="B382" s="13"/>
    </row>
    <row r="383" ht="15.75" customHeight="1">
      <c r="B383" s="13"/>
    </row>
    <row r="384" ht="15.75" customHeight="1">
      <c r="B384" s="13"/>
    </row>
    <row r="385" ht="15.75" customHeight="1">
      <c r="B385" s="13"/>
    </row>
    <row r="386" ht="15.75" customHeight="1">
      <c r="B386" s="13"/>
    </row>
    <row r="387" ht="15.75" customHeight="1">
      <c r="B387" s="13"/>
    </row>
    <row r="388" ht="15.75" customHeight="1">
      <c r="B388" s="13"/>
    </row>
    <row r="389" ht="15.75" customHeight="1">
      <c r="B389" s="13"/>
    </row>
    <row r="390" ht="15.75" customHeight="1">
      <c r="B390" s="13"/>
    </row>
    <row r="391" ht="15.75" customHeight="1">
      <c r="B391" s="13"/>
    </row>
    <row r="392" ht="15.75" customHeight="1">
      <c r="B392" s="13"/>
    </row>
    <row r="393" ht="15.75" customHeight="1">
      <c r="B393" s="13"/>
    </row>
    <row r="394" ht="15.75" customHeight="1">
      <c r="B394" s="13"/>
    </row>
    <row r="395" ht="15.75" customHeight="1">
      <c r="B395" s="13"/>
    </row>
    <row r="396" ht="15.75" customHeight="1">
      <c r="B396" s="13"/>
    </row>
    <row r="397" ht="15.75" customHeight="1">
      <c r="B397" s="13"/>
    </row>
    <row r="398" ht="15.75" customHeight="1">
      <c r="B398" s="13"/>
    </row>
    <row r="399" ht="15.75" customHeight="1">
      <c r="B399" s="13"/>
    </row>
    <row r="400" ht="15.75" customHeight="1">
      <c r="B400" s="13"/>
    </row>
    <row r="401" ht="15.75" customHeight="1">
      <c r="B401" s="13"/>
    </row>
    <row r="402" ht="15.75" customHeight="1">
      <c r="B402" s="13"/>
    </row>
    <row r="403" ht="15.75" customHeight="1">
      <c r="B403" s="13"/>
    </row>
    <row r="404" ht="15.75" customHeight="1">
      <c r="B404" s="13"/>
    </row>
    <row r="405" ht="15.75" customHeight="1">
      <c r="B405" s="13"/>
    </row>
    <row r="406" ht="15.75" customHeight="1">
      <c r="B406" s="13"/>
    </row>
    <row r="407" ht="15.75" customHeight="1">
      <c r="B407" s="13"/>
    </row>
    <row r="408" ht="15.75" customHeight="1">
      <c r="B408" s="13"/>
    </row>
    <row r="409" ht="15.75" customHeight="1">
      <c r="B409" s="13"/>
    </row>
    <row r="410" ht="15.75" customHeight="1">
      <c r="B410" s="13"/>
    </row>
    <row r="411" ht="15.75" customHeight="1">
      <c r="B411" s="13"/>
    </row>
    <row r="412" ht="15.75" customHeight="1">
      <c r="B412" s="13"/>
    </row>
    <row r="413" ht="15.75" customHeight="1">
      <c r="B413" s="13"/>
    </row>
    <row r="414" ht="15.75" customHeight="1">
      <c r="B414" s="13"/>
    </row>
    <row r="415" ht="15.75" customHeight="1">
      <c r="B415" s="13"/>
    </row>
    <row r="416" ht="15.75" customHeight="1">
      <c r="B416" s="13"/>
    </row>
    <row r="417" ht="15.75" customHeight="1">
      <c r="B417" s="13"/>
    </row>
    <row r="418" ht="15.75" customHeight="1">
      <c r="B418" s="13"/>
    </row>
    <row r="419" ht="15.75" customHeight="1">
      <c r="B419" s="13"/>
    </row>
    <row r="420" ht="15.75" customHeight="1">
      <c r="B420" s="13"/>
    </row>
    <row r="421" ht="15.75" customHeight="1">
      <c r="B421" s="13"/>
    </row>
    <row r="422" ht="15.75" customHeight="1">
      <c r="B422" s="13"/>
    </row>
    <row r="423" ht="15.75" customHeight="1">
      <c r="B423" s="13"/>
    </row>
    <row r="424" ht="15.75" customHeight="1">
      <c r="B424" s="13"/>
    </row>
    <row r="425" ht="15.75" customHeight="1">
      <c r="B425" s="13"/>
    </row>
    <row r="426" ht="15.75" customHeight="1">
      <c r="B426" s="13"/>
    </row>
    <row r="427" ht="15.75" customHeight="1">
      <c r="B427" s="13"/>
    </row>
    <row r="428" ht="15.75" customHeight="1">
      <c r="B428" s="13"/>
    </row>
    <row r="429" ht="15.75" customHeight="1">
      <c r="B429" s="13"/>
    </row>
    <row r="430" ht="15.75" customHeight="1">
      <c r="B430" s="13"/>
    </row>
    <row r="431" ht="15.75" customHeight="1">
      <c r="B431" s="13"/>
    </row>
    <row r="432" ht="15.75" customHeight="1">
      <c r="B432" s="13"/>
    </row>
    <row r="433" ht="15.75" customHeight="1">
      <c r="B433" s="13"/>
    </row>
    <row r="434" ht="15.75" customHeight="1">
      <c r="B434" s="13"/>
    </row>
    <row r="435" ht="15.75" customHeight="1">
      <c r="B435" s="13"/>
    </row>
    <row r="436" ht="15.75" customHeight="1">
      <c r="B436" s="13"/>
    </row>
    <row r="437" ht="15.75" customHeight="1">
      <c r="B437" s="13"/>
    </row>
    <row r="438" ht="15.75" customHeight="1">
      <c r="B438" s="13"/>
    </row>
    <row r="439" ht="15.75" customHeight="1">
      <c r="B439" s="13"/>
    </row>
    <row r="440" ht="15.75" customHeight="1">
      <c r="B440" s="13"/>
    </row>
    <row r="441" ht="15.75" customHeight="1">
      <c r="B441" s="13"/>
    </row>
    <row r="442" ht="15.75" customHeight="1">
      <c r="B442" s="13"/>
    </row>
    <row r="443" ht="15.75" customHeight="1">
      <c r="B443" s="13"/>
    </row>
    <row r="444" ht="15.75" customHeight="1">
      <c r="B444" s="13"/>
    </row>
    <row r="445" ht="15.75" customHeight="1">
      <c r="B445" s="13"/>
    </row>
    <row r="446" ht="15.75" customHeight="1">
      <c r="B446" s="13"/>
    </row>
    <row r="447" ht="15.75" customHeight="1">
      <c r="B447" s="13"/>
    </row>
    <row r="448" ht="15.75" customHeight="1">
      <c r="B448" s="13"/>
    </row>
    <row r="449" ht="15.75" customHeight="1">
      <c r="B449" s="13"/>
    </row>
    <row r="450" ht="15.75" customHeight="1">
      <c r="B450" s="13"/>
    </row>
    <row r="451" ht="15.75" customHeight="1">
      <c r="B451" s="13"/>
    </row>
    <row r="452" ht="15.75" customHeight="1">
      <c r="B452" s="13"/>
    </row>
    <row r="453" ht="15.75" customHeight="1">
      <c r="B453" s="13"/>
    </row>
    <row r="454" ht="15.75" customHeight="1">
      <c r="B454" s="13"/>
    </row>
    <row r="455" ht="15.75" customHeight="1">
      <c r="B455" s="13"/>
    </row>
    <row r="456" ht="15.75" customHeight="1">
      <c r="B456" s="13"/>
    </row>
    <row r="457" ht="15.75" customHeight="1">
      <c r="B457" s="13"/>
    </row>
    <row r="458" ht="15.75" customHeight="1">
      <c r="B458" s="13"/>
    </row>
    <row r="459" ht="15.75" customHeight="1">
      <c r="B459" s="13"/>
    </row>
    <row r="460" ht="15.75" customHeight="1">
      <c r="B460" s="13"/>
    </row>
    <row r="461" ht="15.75" customHeight="1">
      <c r="B461" s="13"/>
    </row>
    <row r="462" ht="15.75" customHeight="1">
      <c r="B462" s="13"/>
    </row>
    <row r="463" ht="15.75" customHeight="1">
      <c r="B463" s="13"/>
    </row>
    <row r="464" ht="15.75" customHeight="1">
      <c r="B464" s="13"/>
    </row>
    <row r="465" ht="15.75" customHeight="1">
      <c r="B465" s="13"/>
    </row>
    <row r="466" ht="15.75" customHeight="1">
      <c r="B466" s="13"/>
    </row>
    <row r="467" ht="15.75" customHeight="1">
      <c r="B467" s="13"/>
    </row>
    <row r="468" ht="15.75" customHeight="1">
      <c r="B468" s="13"/>
    </row>
    <row r="469" ht="15.75" customHeight="1">
      <c r="B469" s="13"/>
    </row>
    <row r="470" ht="15.75" customHeight="1">
      <c r="B470" s="13"/>
    </row>
    <row r="471" ht="15.75" customHeight="1">
      <c r="B471" s="13"/>
    </row>
    <row r="472" ht="15.75" customHeight="1">
      <c r="B472" s="13"/>
    </row>
    <row r="473" ht="15.75" customHeight="1">
      <c r="B473" s="13"/>
    </row>
    <row r="474" ht="15.75" customHeight="1">
      <c r="B474" s="13"/>
    </row>
    <row r="475" ht="15.75" customHeight="1">
      <c r="B475" s="13"/>
    </row>
    <row r="476" ht="15.75" customHeight="1">
      <c r="B476" s="13"/>
    </row>
    <row r="477" ht="15.75" customHeight="1">
      <c r="B477" s="13"/>
    </row>
    <row r="478" ht="15.75" customHeight="1">
      <c r="B478" s="13"/>
    </row>
    <row r="479" ht="15.75" customHeight="1">
      <c r="B479" s="13"/>
    </row>
    <row r="480" ht="15.75" customHeight="1">
      <c r="B480" s="13"/>
    </row>
    <row r="481" ht="15.75" customHeight="1">
      <c r="B481" s="13"/>
    </row>
    <row r="482" ht="15.75" customHeight="1">
      <c r="B482" s="13"/>
    </row>
    <row r="483" ht="15.75" customHeight="1">
      <c r="B483" s="13"/>
    </row>
    <row r="484" ht="15.75" customHeight="1">
      <c r="B484" s="13"/>
    </row>
    <row r="485" ht="15.75" customHeight="1">
      <c r="B485" s="13"/>
    </row>
    <row r="486" ht="15.75" customHeight="1">
      <c r="B486" s="13"/>
    </row>
    <row r="487" ht="15.75" customHeight="1">
      <c r="B487" s="13"/>
    </row>
    <row r="488" ht="15.75" customHeight="1">
      <c r="B488" s="13"/>
    </row>
    <row r="489" ht="15.75" customHeight="1">
      <c r="B489" s="13"/>
    </row>
    <row r="490" ht="15.75" customHeight="1">
      <c r="B490" s="13"/>
    </row>
    <row r="491" ht="15.75" customHeight="1">
      <c r="B491" s="13"/>
    </row>
    <row r="492" ht="15.75" customHeight="1">
      <c r="B492" s="13"/>
    </row>
    <row r="493" ht="15.75" customHeight="1">
      <c r="B493" s="13"/>
    </row>
    <row r="494" ht="15.75" customHeight="1">
      <c r="B494" s="13"/>
    </row>
    <row r="495" ht="15.75" customHeight="1">
      <c r="B495" s="13"/>
    </row>
    <row r="496" ht="15.75" customHeight="1">
      <c r="B496" s="13"/>
    </row>
    <row r="497" ht="15.75" customHeight="1">
      <c r="B497" s="13"/>
    </row>
    <row r="498" ht="15.75" customHeight="1">
      <c r="B498" s="13"/>
    </row>
    <row r="499" ht="15.75" customHeight="1">
      <c r="B499" s="13"/>
    </row>
    <row r="500" ht="15.75" customHeight="1">
      <c r="B500" s="13"/>
    </row>
    <row r="501" ht="15.75" customHeight="1">
      <c r="B501" s="13"/>
    </row>
    <row r="502" ht="15.75" customHeight="1">
      <c r="B502" s="13"/>
    </row>
    <row r="503" ht="15.75" customHeight="1">
      <c r="B503" s="13"/>
    </row>
    <row r="504" ht="15.75" customHeight="1">
      <c r="B504" s="13"/>
    </row>
    <row r="505" ht="15.75" customHeight="1">
      <c r="B505" s="13"/>
    </row>
    <row r="506" ht="15.75" customHeight="1">
      <c r="B506" s="13"/>
    </row>
    <row r="507" ht="15.75" customHeight="1">
      <c r="B507" s="13"/>
    </row>
    <row r="508" ht="15.75" customHeight="1">
      <c r="B508" s="13"/>
    </row>
    <row r="509" ht="15.75" customHeight="1">
      <c r="B509" s="13"/>
    </row>
    <row r="510" ht="15.75" customHeight="1">
      <c r="B510" s="13"/>
    </row>
    <row r="511" ht="15.75" customHeight="1">
      <c r="B511" s="13"/>
    </row>
    <row r="512" ht="15.75" customHeight="1">
      <c r="B512" s="13"/>
    </row>
    <row r="513" ht="15.75" customHeight="1">
      <c r="B513" s="13"/>
    </row>
    <row r="514" ht="15.75" customHeight="1">
      <c r="B514" s="13"/>
    </row>
    <row r="515" ht="15.75" customHeight="1">
      <c r="B515" s="13"/>
    </row>
    <row r="516" ht="15.75" customHeight="1">
      <c r="B516" s="13"/>
    </row>
    <row r="517" ht="15.75" customHeight="1">
      <c r="B517" s="13"/>
    </row>
    <row r="518" ht="15.75" customHeight="1">
      <c r="B518" s="13"/>
    </row>
    <row r="519" ht="15.75" customHeight="1">
      <c r="B519" s="13"/>
    </row>
    <row r="520" ht="15.75" customHeight="1">
      <c r="B520" s="13"/>
    </row>
    <row r="521" ht="15.75" customHeight="1">
      <c r="B521" s="13"/>
    </row>
    <row r="522" ht="15.75" customHeight="1">
      <c r="B522" s="13"/>
    </row>
    <row r="523" ht="15.75" customHeight="1">
      <c r="B523" s="13"/>
    </row>
    <row r="524" ht="15.75" customHeight="1">
      <c r="B524" s="13"/>
    </row>
    <row r="525" ht="15.75" customHeight="1">
      <c r="B525" s="13"/>
    </row>
    <row r="526" ht="15.75" customHeight="1">
      <c r="B526" s="13"/>
    </row>
    <row r="527" ht="15.75" customHeight="1">
      <c r="B527" s="13"/>
    </row>
    <row r="528" ht="15.75" customHeight="1">
      <c r="B528" s="13"/>
    </row>
    <row r="529" ht="15.75" customHeight="1">
      <c r="B529" s="13"/>
    </row>
    <row r="530" ht="15.75" customHeight="1">
      <c r="B530" s="13"/>
    </row>
    <row r="531" ht="15.75" customHeight="1">
      <c r="B531" s="13"/>
    </row>
    <row r="532" ht="15.75" customHeight="1">
      <c r="B532" s="13"/>
    </row>
    <row r="533" ht="15.75" customHeight="1">
      <c r="B533" s="13"/>
    </row>
    <row r="534" ht="15.75" customHeight="1">
      <c r="B534" s="13"/>
    </row>
    <row r="535" ht="15.75" customHeight="1">
      <c r="B535" s="13"/>
    </row>
    <row r="536" ht="15.75" customHeight="1">
      <c r="B536" s="13"/>
    </row>
    <row r="537" ht="15.75" customHeight="1">
      <c r="B537" s="13"/>
    </row>
    <row r="538" ht="15.75" customHeight="1">
      <c r="B538" s="13"/>
    </row>
    <row r="539" ht="15.75" customHeight="1">
      <c r="B539" s="13"/>
    </row>
    <row r="540" ht="15.75" customHeight="1">
      <c r="B540" s="13"/>
    </row>
    <row r="541" ht="15.75" customHeight="1">
      <c r="B541" s="13"/>
    </row>
    <row r="542" ht="15.75" customHeight="1">
      <c r="B542" s="13"/>
    </row>
    <row r="543" ht="15.75" customHeight="1">
      <c r="B543" s="13"/>
    </row>
    <row r="544" ht="15.75" customHeight="1">
      <c r="B544" s="13"/>
    </row>
    <row r="545" ht="15.75" customHeight="1">
      <c r="B545" s="13"/>
    </row>
    <row r="546" ht="15.75" customHeight="1">
      <c r="B546" s="13"/>
    </row>
    <row r="547" ht="15.75" customHeight="1">
      <c r="B547" s="13"/>
    </row>
    <row r="548" ht="15.75" customHeight="1">
      <c r="B548" s="13"/>
    </row>
    <row r="549" ht="15.75" customHeight="1">
      <c r="B549" s="13"/>
    </row>
    <row r="550" ht="15.75" customHeight="1">
      <c r="B550" s="13"/>
    </row>
    <row r="551" ht="15.75" customHeight="1">
      <c r="B551" s="13"/>
    </row>
    <row r="552" ht="15.75" customHeight="1">
      <c r="B552" s="13"/>
    </row>
    <row r="553" ht="15.75" customHeight="1">
      <c r="B553" s="13"/>
    </row>
    <row r="554" ht="15.75" customHeight="1">
      <c r="B554" s="13"/>
    </row>
    <row r="555" ht="15.75" customHeight="1">
      <c r="B555" s="13"/>
    </row>
    <row r="556" ht="15.75" customHeight="1">
      <c r="B556" s="13"/>
    </row>
    <row r="557" ht="15.75" customHeight="1">
      <c r="B557" s="13"/>
    </row>
    <row r="558" ht="15.75" customHeight="1">
      <c r="B558" s="13"/>
    </row>
    <row r="559" ht="15.75" customHeight="1">
      <c r="B559" s="13"/>
    </row>
    <row r="560" ht="15.75" customHeight="1">
      <c r="B560" s="13"/>
    </row>
    <row r="561" ht="15.75" customHeight="1">
      <c r="B561" s="13"/>
    </row>
    <row r="562" ht="15.75" customHeight="1">
      <c r="B562" s="13"/>
    </row>
    <row r="563" ht="15.75" customHeight="1">
      <c r="B563" s="13"/>
    </row>
    <row r="564" ht="15.75" customHeight="1">
      <c r="B564" s="13"/>
    </row>
    <row r="565" ht="15.75" customHeight="1">
      <c r="B565" s="13"/>
    </row>
    <row r="566" ht="15.75" customHeight="1">
      <c r="B566" s="13"/>
    </row>
    <row r="567" ht="15.75" customHeight="1">
      <c r="B567" s="13"/>
    </row>
    <row r="568" ht="15.75" customHeight="1">
      <c r="B568" s="13"/>
    </row>
    <row r="569" ht="15.75" customHeight="1">
      <c r="B569" s="13"/>
    </row>
    <row r="570" ht="15.75" customHeight="1">
      <c r="B570" s="13"/>
    </row>
    <row r="571" ht="15.75" customHeight="1">
      <c r="B571" s="13"/>
    </row>
    <row r="572" ht="15.75" customHeight="1">
      <c r="B572" s="13"/>
    </row>
    <row r="573" ht="15.75" customHeight="1">
      <c r="B573" s="13"/>
    </row>
    <row r="574" ht="15.75" customHeight="1">
      <c r="B574" s="13"/>
    </row>
    <row r="575" ht="15.75" customHeight="1">
      <c r="B575" s="13"/>
    </row>
    <row r="576" ht="15.75" customHeight="1">
      <c r="B576" s="13"/>
    </row>
    <row r="577" ht="15.75" customHeight="1">
      <c r="B577" s="13"/>
    </row>
    <row r="578" ht="15.75" customHeight="1">
      <c r="B578" s="13"/>
    </row>
    <row r="579" ht="15.75" customHeight="1">
      <c r="B579" s="13"/>
    </row>
    <row r="580" ht="15.75" customHeight="1">
      <c r="B580" s="13"/>
    </row>
    <row r="581" ht="15.75" customHeight="1">
      <c r="B581" s="13"/>
    </row>
    <row r="582" ht="15.75" customHeight="1">
      <c r="B582" s="13"/>
    </row>
    <row r="583" ht="15.75" customHeight="1">
      <c r="B583" s="13"/>
    </row>
    <row r="584" ht="15.75" customHeight="1">
      <c r="B584" s="13"/>
    </row>
    <row r="585" ht="15.75" customHeight="1">
      <c r="B585" s="13"/>
    </row>
    <row r="586" ht="15.75" customHeight="1">
      <c r="B586" s="13"/>
    </row>
    <row r="587" ht="15.75" customHeight="1">
      <c r="B587" s="13"/>
    </row>
    <row r="588" ht="15.75" customHeight="1">
      <c r="B588" s="13"/>
    </row>
    <row r="589" ht="15.75" customHeight="1">
      <c r="B589" s="13"/>
    </row>
    <row r="590" ht="15.75" customHeight="1">
      <c r="B590" s="13"/>
    </row>
    <row r="591" ht="15.75" customHeight="1">
      <c r="B591" s="13"/>
    </row>
    <row r="592" ht="15.75" customHeight="1">
      <c r="B592" s="13"/>
    </row>
    <row r="593" ht="15.75" customHeight="1">
      <c r="B593" s="13"/>
    </row>
    <row r="594" ht="15.75" customHeight="1">
      <c r="B594" s="13"/>
    </row>
    <row r="595" ht="15.75" customHeight="1">
      <c r="B595" s="13"/>
    </row>
    <row r="596" ht="15.75" customHeight="1">
      <c r="B596" s="13"/>
    </row>
    <row r="597" ht="15.75" customHeight="1">
      <c r="B597" s="13"/>
    </row>
    <row r="598" ht="15.75" customHeight="1">
      <c r="B598" s="13"/>
    </row>
    <row r="599" ht="15.75" customHeight="1">
      <c r="B599" s="13"/>
    </row>
    <row r="600" ht="15.75" customHeight="1">
      <c r="B600" s="13"/>
    </row>
    <row r="601" ht="15.75" customHeight="1">
      <c r="B601" s="13"/>
    </row>
    <row r="602" ht="15.75" customHeight="1">
      <c r="B602" s="13"/>
    </row>
    <row r="603" ht="15.75" customHeight="1">
      <c r="B603" s="13"/>
    </row>
    <row r="604" ht="15.75" customHeight="1">
      <c r="B604" s="13"/>
    </row>
    <row r="605" ht="15.75" customHeight="1">
      <c r="B605" s="13"/>
    </row>
    <row r="606" ht="15.75" customHeight="1">
      <c r="B606" s="13"/>
    </row>
    <row r="607" ht="15.75" customHeight="1">
      <c r="B607" s="13"/>
    </row>
    <row r="608" ht="15.75" customHeight="1">
      <c r="B608" s="13"/>
    </row>
    <row r="609" ht="15.75" customHeight="1">
      <c r="B609" s="13"/>
    </row>
    <row r="610" ht="15.75" customHeight="1">
      <c r="B610" s="13"/>
    </row>
    <row r="611" ht="15.75" customHeight="1">
      <c r="B611" s="13"/>
    </row>
    <row r="612" ht="15.75" customHeight="1">
      <c r="B612" s="13"/>
    </row>
    <row r="613" ht="15.75" customHeight="1">
      <c r="B613" s="13"/>
    </row>
    <row r="614" ht="15.75" customHeight="1">
      <c r="B614" s="13"/>
    </row>
    <row r="615" ht="15.75" customHeight="1">
      <c r="B615" s="13"/>
    </row>
    <row r="616" ht="15.75" customHeight="1">
      <c r="B616" s="13"/>
    </row>
    <row r="617" ht="15.75" customHeight="1">
      <c r="B617" s="13"/>
    </row>
    <row r="618" ht="15.75" customHeight="1">
      <c r="B618" s="13"/>
    </row>
    <row r="619" ht="15.75" customHeight="1">
      <c r="B619" s="13"/>
    </row>
    <row r="620" ht="15.75" customHeight="1">
      <c r="B620" s="13"/>
    </row>
    <row r="621" ht="15.75" customHeight="1">
      <c r="B621" s="13"/>
    </row>
    <row r="622" ht="15.75" customHeight="1">
      <c r="B622" s="13"/>
    </row>
    <row r="623" ht="15.75" customHeight="1">
      <c r="B623" s="13"/>
    </row>
    <row r="624" ht="15.75" customHeight="1">
      <c r="B624" s="13"/>
    </row>
    <row r="625" ht="15.75" customHeight="1">
      <c r="B625" s="13"/>
    </row>
    <row r="626" ht="15.75" customHeight="1">
      <c r="B626" s="13"/>
    </row>
    <row r="627" ht="15.75" customHeight="1">
      <c r="B627" s="13"/>
    </row>
    <row r="628" ht="15.75" customHeight="1">
      <c r="B628" s="13"/>
    </row>
    <row r="629" ht="15.75" customHeight="1">
      <c r="B629" s="13"/>
    </row>
    <row r="630" ht="15.75" customHeight="1">
      <c r="B630" s="13"/>
    </row>
    <row r="631" ht="15.75" customHeight="1">
      <c r="B631" s="13"/>
    </row>
    <row r="632" ht="15.75" customHeight="1">
      <c r="B632" s="13"/>
    </row>
    <row r="633" ht="15.75" customHeight="1">
      <c r="B633" s="13"/>
    </row>
    <row r="634" ht="15.75" customHeight="1">
      <c r="B634" s="13"/>
    </row>
    <row r="635" ht="15.75" customHeight="1">
      <c r="B635" s="13"/>
    </row>
    <row r="636" ht="15.75" customHeight="1">
      <c r="B636" s="13"/>
    </row>
    <row r="637" ht="15.75" customHeight="1">
      <c r="B637" s="13"/>
    </row>
    <row r="638" ht="15.75" customHeight="1">
      <c r="B638" s="13"/>
    </row>
    <row r="639" ht="15.75" customHeight="1">
      <c r="B639" s="13"/>
    </row>
    <row r="640" ht="15.75" customHeight="1">
      <c r="B640" s="13"/>
    </row>
    <row r="641" ht="15.75" customHeight="1">
      <c r="B641" s="13"/>
    </row>
    <row r="642" ht="15.75" customHeight="1">
      <c r="B642" s="13"/>
    </row>
    <row r="643" ht="15.75" customHeight="1">
      <c r="B643" s="13"/>
    </row>
    <row r="644" ht="15.75" customHeight="1">
      <c r="B644" s="13"/>
    </row>
    <row r="645" ht="15.75" customHeight="1">
      <c r="B645" s="13"/>
    </row>
    <row r="646" ht="15.75" customHeight="1">
      <c r="B646" s="13"/>
    </row>
    <row r="647" ht="15.75" customHeight="1">
      <c r="B647" s="13"/>
    </row>
    <row r="648" ht="15.75" customHeight="1">
      <c r="B648" s="13"/>
    </row>
    <row r="649" ht="15.75" customHeight="1">
      <c r="B649" s="13"/>
    </row>
    <row r="650" ht="15.75" customHeight="1">
      <c r="B650" s="13"/>
    </row>
    <row r="651" ht="15.75" customHeight="1">
      <c r="B651" s="13"/>
    </row>
    <row r="652" ht="15.75" customHeight="1">
      <c r="B652" s="13"/>
    </row>
    <row r="653" ht="15.75" customHeight="1">
      <c r="B653" s="13"/>
    </row>
    <row r="654" ht="15.75" customHeight="1">
      <c r="B654" s="13"/>
    </row>
    <row r="655" ht="15.75" customHeight="1">
      <c r="B655" s="13"/>
    </row>
    <row r="656" ht="15.75" customHeight="1">
      <c r="B656" s="13"/>
    </row>
    <row r="657" ht="15.75" customHeight="1">
      <c r="B657" s="13"/>
    </row>
    <row r="658" ht="15.75" customHeight="1">
      <c r="B658" s="13"/>
    </row>
    <row r="659" ht="15.75" customHeight="1">
      <c r="B659" s="13"/>
    </row>
    <row r="660" ht="15.75" customHeight="1">
      <c r="B660" s="13"/>
    </row>
    <row r="661" ht="15.75" customHeight="1">
      <c r="B661" s="13"/>
    </row>
    <row r="662" ht="15.75" customHeight="1">
      <c r="B662" s="13"/>
    </row>
    <row r="663" ht="15.75" customHeight="1">
      <c r="B663" s="13"/>
    </row>
    <row r="664" ht="15.75" customHeight="1">
      <c r="B664" s="13"/>
    </row>
    <row r="665" ht="15.75" customHeight="1">
      <c r="B665" s="13"/>
    </row>
    <row r="666" ht="15.75" customHeight="1">
      <c r="B666" s="13"/>
    </row>
    <row r="667" ht="15.75" customHeight="1">
      <c r="B667" s="13"/>
    </row>
    <row r="668" ht="15.75" customHeight="1">
      <c r="B668" s="13"/>
    </row>
    <row r="669" ht="15.75" customHeight="1">
      <c r="B669" s="13"/>
    </row>
    <row r="670" ht="15.75" customHeight="1">
      <c r="B670" s="13"/>
    </row>
    <row r="671" ht="15.75" customHeight="1">
      <c r="B671" s="13"/>
    </row>
    <row r="672" ht="15.75" customHeight="1">
      <c r="B672" s="13"/>
    </row>
    <row r="673" ht="15.75" customHeight="1">
      <c r="B673" s="13"/>
    </row>
    <row r="674" ht="15.75" customHeight="1">
      <c r="B674" s="13"/>
    </row>
    <row r="675" ht="15.75" customHeight="1">
      <c r="B675" s="13"/>
    </row>
    <row r="676" ht="15.75" customHeight="1">
      <c r="B676" s="13"/>
    </row>
    <row r="677" ht="15.75" customHeight="1">
      <c r="B677" s="13"/>
    </row>
    <row r="678" ht="15.75" customHeight="1">
      <c r="B678" s="13"/>
    </row>
    <row r="679" ht="15.75" customHeight="1">
      <c r="B679" s="13"/>
    </row>
    <row r="680" ht="15.75" customHeight="1">
      <c r="B680" s="13"/>
    </row>
    <row r="681" ht="15.75" customHeight="1">
      <c r="B681" s="13"/>
    </row>
    <row r="682" ht="15.75" customHeight="1">
      <c r="B682" s="13"/>
    </row>
    <row r="683" ht="15.75" customHeight="1">
      <c r="B683" s="13"/>
    </row>
    <row r="684" ht="15.75" customHeight="1">
      <c r="B684" s="13"/>
    </row>
    <row r="685" ht="15.75" customHeight="1">
      <c r="B685" s="13"/>
    </row>
    <row r="686" ht="15.75" customHeight="1">
      <c r="B686" s="13"/>
    </row>
    <row r="687" ht="15.75" customHeight="1">
      <c r="B687" s="13"/>
    </row>
    <row r="688" ht="15.75" customHeight="1">
      <c r="B688" s="13"/>
    </row>
    <row r="689" ht="15.75" customHeight="1">
      <c r="B689" s="13"/>
    </row>
    <row r="690" ht="15.75" customHeight="1">
      <c r="B690" s="13"/>
    </row>
    <row r="691" ht="15.75" customHeight="1">
      <c r="B691" s="13"/>
    </row>
    <row r="692" ht="15.75" customHeight="1">
      <c r="B692" s="13"/>
    </row>
    <row r="693" ht="15.75" customHeight="1">
      <c r="B693" s="13"/>
    </row>
    <row r="694" ht="15.75" customHeight="1">
      <c r="B694" s="13"/>
    </row>
    <row r="695" ht="15.75" customHeight="1">
      <c r="B695" s="13"/>
    </row>
    <row r="696" ht="15.75" customHeight="1">
      <c r="B696" s="13"/>
    </row>
    <row r="697" ht="15.75" customHeight="1">
      <c r="B697" s="13"/>
    </row>
    <row r="698" ht="15.75" customHeight="1">
      <c r="B698" s="13"/>
    </row>
    <row r="699" ht="15.75" customHeight="1">
      <c r="B699" s="13"/>
    </row>
    <row r="700" ht="15.75" customHeight="1">
      <c r="B700" s="13"/>
    </row>
    <row r="701" ht="15.75" customHeight="1">
      <c r="B701" s="13"/>
    </row>
    <row r="702" ht="15.75" customHeight="1">
      <c r="B702" s="13"/>
    </row>
    <row r="703" ht="15.75" customHeight="1">
      <c r="B703" s="13"/>
    </row>
    <row r="704" ht="15.75" customHeight="1">
      <c r="B704" s="13"/>
    </row>
    <row r="705" ht="15.75" customHeight="1">
      <c r="B705" s="13"/>
    </row>
    <row r="706" ht="15.75" customHeight="1">
      <c r="B706" s="13"/>
    </row>
    <row r="707" ht="15.75" customHeight="1">
      <c r="B707" s="13"/>
    </row>
    <row r="708" ht="15.75" customHeight="1">
      <c r="B708" s="13"/>
    </row>
    <row r="709" ht="15.75" customHeight="1">
      <c r="B709" s="13"/>
    </row>
    <row r="710" ht="15.75" customHeight="1">
      <c r="B710" s="13"/>
    </row>
    <row r="711" ht="15.75" customHeight="1">
      <c r="B711" s="13"/>
    </row>
    <row r="712" ht="15.75" customHeight="1">
      <c r="B712" s="13"/>
    </row>
    <row r="713" ht="15.75" customHeight="1">
      <c r="B713" s="13"/>
    </row>
    <row r="714" ht="15.75" customHeight="1">
      <c r="B714" s="13"/>
    </row>
    <row r="715" ht="15.75" customHeight="1">
      <c r="B715" s="13"/>
    </row>
    <row r="716" ht="15.75" customHeight="1">
      <c r="B716" s="13"/>
    </row>
    <row r="717" ht="15.75" customHeight="1">
      <c r="B717" s="13"/>
    </row>
    <row r="718" ht="15.75" customHeight="1">
      <c r="B718" s="13"/>
    </row>
    <row r="719" ht="15.75" customHeight="1">
      <c r="B719" s="13"/>
    </row>
    <row r="720" ht="15.75" customHeight="1">
      <c r="B720" s="13"/>
    </row>
    <row r="721" ht="15.75" customHeight="1">
      <c r="B721" s="13"/>
    </row>
    <row r="722" ht="15.75" customHeight="1">
      <c r="B722" s="13"/>
    </row>
    <row r="723" ht="15.75" customHeight="1">
      <c r="B723" s="13"/>
    </row>
    <row r="724" ht="15.75" customHeight="1">
      <c r="B724" s="13"/>
    </row>
    <row r="725" ht="15.75" customHeight="1">
      <c r="B725" s="13"/>
    </row>
    <row r="726" ht="15.75" customHeight="1">
      <c r="B726" s="13"/>
    </row>
    <row r="727" ht="15.75" customHeight="1">
      <c r="B727" s="13"/>
    </row>
    <row r="728" ht="15.75" customHeight="1">
      <c r="B728" s="13"/>
    </row>
    <row r="729" ht="15.75" customHeight="1">
      <c r="B729" s="13"/>
    </row>
    <row r="730" ht="15.75" customHeight="1">
      <c r="B730" s="13"/>
    </row>
    <row r="731" ht="15.75" customHeight="1">
      <c r="B731" s="13"/>
    </row>
    <row r="732" ht="15.75" customHeight="1">
      <c r="B732" s="13"/>
    </row>
    <row r="733" ht="15.75" customHeight="1">
      <c r="B733" s="13"/>
    </row>
    <row r="734" ht="15.75" customHeight="1">
      <c r="B734" s="13"/>
    </row>
    <row r="735" ht="15.75" customHeight="1">
      <c r="B735" s="13"/>
    </row>
    <row r="736" ht="15.75" customHeight="1">
      <c r="B736" s="13"/>
    </row>
    <row r="737" ht="15.75" customHeight="1">
      <c r="B737" s="13"/>
    </row>
    <row r="738" ht="15.75" customHeight="1">
      <c r="B738" s="13"/>
    </row>
    <row r="739" ht="15.75" customHeight="1">
      <c r="B739" s="13"/>
    </row>
    <row r="740" ht="15.75" customHeight="1">
      <c r="B740" s="13"/>
    </row>
    <row r="741" ht="15.75" customHeight="1">
      <c r="B741" s="13"/>
    </row>
    <row r="742" ht="15.75" customHeight="1">
      <c r="B742" s="13"/>
    </row>
    <row r="743" ht="15.75" customHeight="1">
      <c r="B743" s="13"/>
    </row>
    <row r="744" ht="15.75" customHeight="1">
      <c r="B744" s="13"/>
    </row>
    <row r="745" ht="15.75" customHeight="1">
      <c r="B745" s="13"/>
    </row>
    <row r="746" ht="15.75" customHeight="1">
      <c r="B746" s="13"/>
    </row>
    <row r="747" ht="15.75" customHeight="1">
      <c r="B747" s="13"/>
    </row>
    <row r="748" ht="15.75" customHeight="1">
      <c r="B748" s="13"/>
    </row>
    <row r="749" ht="15.75" customHeight="1">
      <c r="B749" s="13"/>
    </row>
    <row r="750" ht="15.75" customHeight="1">
      <c r="B750" s="13"/>
    </row>
    <row r="751" ht="15.75" customHeight="1">
      <c r="B751" s="13"/>
    </row>
    <row r="752" ht="15.75" customHeight="1">
      <c r="B752" s="13"/>
    </row>
    <row r="753" ht="15.75" customHeight="1">
      <c r="B753" s="13"/>
    </row>
    <row r="754" ht="15.75" customHeight="1">
      <c r="B754" s="13"/>
    </row>
    <row r="755" ht="15.75" customHeight="1">
      <c r="B755" s="13"/>
    </row>
    <row r="756" ht="15.75" customHeight="1">
      <c r="B756" s="13"/>
    </row>
    <row r="757" ht="15.75" customHeight="1">
      <c r="B757" s="13"/>
    </row>
    <row r="758" ht="15.75" customHeight="1">
      <c r="B758" s="13"/>
    </row>
    <row r="759" ht="15.75" customHeight="1">
      <c r="B759" s="13"/>
    </row>
    <row r="760" ht="15.75" customHeight="1">
      <c r="B760" s="13"/>
    </row>
    <row r="761" ht="15.75" customHeight="1">
      <c r="B761" s="13"/>
    </row>
    <row r="762" ht="15.75" customHeight="1">
      <c r="B762" s="13"/>
    </row>
    <row r="763" ht="15.75" customHeight="1">
      <c r="B763" s="13"/>
    </row>
    <row r="764" ht="15.75" customHeight="1">
      <c r="B764" s="13"/>
    </row>
    <row r="765" ht="15.75" customHeight="1">
      <c r="B765" s="13"/>
    </row>
    <row r="766" ht="15.75" customHeight="1">
      <c r="B766" s="13"/>
    </row>
    <row r="767" ht="15.75" customHeight="1">
      <c r="B767" s="13"/>
    </row>
    <row r="768" ht="15.75" customHeight="1">
      <c r="B768" s="13"/>
    </row>
    <row r="769" ht="15.75" customHeight="1">
      <c r="B769" s="13"/>
    </row>
    <row r="770" ht="15.75" customHeight="1">
      <c r="B770" s="13"/>
    </row>
    <row r="771" ht="15.75" customHeight="1">
      <c r="B771" s="13"/>
    </row>
    <row r="772" ht="15.75" customHeight="1">
      <c r="B772" s="13"/>
    </row>
    <row r="773" ht="15.75" customHeight="1">
      <c r="B773" s="13"/>
    </row>
    <row r="774" ht="15.75" customHeight="1">
      <c r="B774" s="13"/>
    </row>
    <row r="775" ht="15.75" customHeight="1">
      <c r="B775" s="13"/>
    </row>
    <row r="776" ht="15.75" customHeight="1">
      <c r="B776" s="13"/>
    </row>
    <row r="777" ht="15.75" customHeight="1">
      <c r="B777" s="13"/>
    </row>
    <row r="778" ht="15.75" customHeight="1">
      <c r="B778" s="13"/>
    </row>
    <row r="779" ht="15.75" customHeight="1">
      <c r="B779" s="13"/>
    </row>
    <row r="780" ht="15.75" customHeight="1">
      <c r="B780" s="13"/>
    </row>
    <row r="781" ht="15.75" customHeight="1">
      <c r="B781" s="13"/>
    </row>
    <row r="782" ht="15.75" customHeight="1">
      <c r="B782" s="13"/>
    </row>
    <row r="783" ht="15.75" customHeight="1">
      <c r="B783" s="13"/>
    </row>
    <row r="784" ht="15.75" customHeight="1">
      <c r="B784" s="13"/>
    </row>
    <row r="785" ht="15.75" customHeight="1">
      <c r="B785" s="13"/>
    </row>
    <row r="786" ht="15.75" customHeight="1">
      <c r="B786" s="13"/>
    </row>
    <row r="787" ht="15.75" customHeight="1">
      <c r="B787" s="13"/>
    </row>
    <row r="788" ht="15.75" customHeight="1">
      <c r="B788" s="13"/>
    </row>
    <row r="789" ht="15.75" customHeight="1">
      <c r="B789" s="13"/>
    </row>
    <row r="790" ht="15.75" customHeight="1">
      <c r="B790" s="13"/>
    </row>
    <row r="791" ht="15.75" customHeight="1">
      <c r="B791" s="13"/>
    </row>
    <row r="792" ht="15.75" customHeight="1">
      <c r="B792" s="13"/>
    </row>
    <row r="793" ht="15.75" customHeight="1">
      <c r="B793" s="13"/>
    </row>
    <row r="794" ht="15.75" customHeight="1">
      <c r="B794" s="13"/>
    </row>
    <row r="795" ht="15.75" customHeight="1">
      <c r="B795" s="13"/>
    </row>
    <row r="796" ht="15.75" customHeight="1">
      <c r="B796" s="13"/>
    </row>
    <row r="797" ht="15.75" customHeight="1">
      <c r="B797" s="13"/>
    </row>
    <row r="798" ht="15.75" customHeight="1">
      <c r="B798" s="13"/>
    </row>
    <row r="799" ht="15.75" customHeight="1">
      <c r="B799" s="13"/>
    </row>
    <row r="800" ht="15.75" customHeight="1">
      <c r="B800" s="13"/>
    </row>
    <row r="801" ht="15.75" customHeight="1">
      <c r="B801" s="13"/>
    </row>
    <row r="802" ht="15.75" customHeight="1">
      <c r="B802" s="13"/>
    </row>
    <row r="803" ht="15.75" customHeight="1">
      <c r="B803" s="13"/>
    </row>
    <row r="804" ht="15.75" customHeight="1">
      <c r="B804" s="13"/>
    </row>
    <row r="805" ht="15.75" customHeight="1">
      <c r="B805" s="13"/>
    </row>
    <row r="806" ht="15.75" customHeight="1">
      <c r="B806" s="13"/>
    </row>
    <row r="807" ht="15.75" customHeight="1">
      <c r="B807" s="13"/>
    </row>
    <row r="808" ht="15.75" customHeight="1">
      <c r="B808" s="13"/>
    </row>
    <row r="809" ht="15.75" customHeight="1">
      <c r="B809" s="13"/>
    </row>
    <row r="810" ht="15.75" customHeight="1">
      <c r="B810" s="13"/>
    </row>
    <row r="811" ht="15.75" customHeight="1">
      <c r="B811" s="13"/>
    </row>
    <row r="812" ht="15.75" customHeight="1">
      <c r="B812" s="13"/>
    </row>
    <row r="813" ht="15.75" customHeight="1">
      <c r="B813" s="13"/>
    </row>
    <row r="814" ht="15.75" customHeight="1">
      <c r="B814" s="13"/>
    </row>
    <row r="815" ht="15.75" customHeight="1">
      <c r="B815" s="13"/>
    </row>
    <row r="816" ht="15.75" customHeight="1">
      <c r="B816" s="13"/>
    </row>
    <row r="817" ht="15.75" customHeight="1">
      <c r="B817" s="13"/>
    </row>
    <row r="818" ht="15.75" customHeight="1">
      <c r="B818" s="13"/>
    </row>
    <row r="819" ht="15.75" customHeight="1">
      <c r="B819" s="13"/>
    </row>
    <row r="820" ht="15.75" customHeight="1">
      <c r="B820" s="13"/>
    </row>
    <row r="821" ht="15.75" customHeight="1">
      <c r="B821" s="13"/>
    </row>
    <row r="822" ht="15.75" customHeight="1">
      <c r="B822" s="13"/>
    </row>
    <row r="823" ht="15.75" customHeight="1">
      <c r="B823" s="13"/>
    </row>
    <row r="824" ht="15.75" customHeight="1">
      <c r="B824" s="13"/>
    </row>
    <row r="825" ht="15.75" customHeight="1">
      <c r="B825" s="13"/>
    </row>
    <row r="826" ht="15.75" customHeight="1">
      <c r="B826" s="13"/>
    </row>
    <row r="827" ht="15.75" customHeight="1">
      <c r="B827" s="13"/>
    </row>
    <row r="828" ht="15.75" customHeight="1">
      <c r="B828" s="13"/>
    </row>
    <row r="829" ht="15.75" customHeight="1">
      <c r="B829" s="13"/>
    </row>
    <row r="830" ht="15.75" customHeight="1">
      <c r="B830" s="13"/>
    </row>
    <row r="831" ht="15.75" customHeight="1">
      <c r="B831" s="13"/>
    </row>
    <row r="832" ht="15.75" customHeight="1">
      <c r="B832" s="13"/>
    </row>
    <row r="833" ht="15.75" customHeight="1">
      <c r="B833" s="13"/>
    </row>
    <row r="834" ht="15.75" customHeight="1">
      <c r="B834" s="13"/>
    </row>
    <row r="835" ht="15.75" customHeight="1">
      <c r="B835" s="13"/>
    </row>
    <row r="836" ht="15.75" customHeight="1">
      <c r="B836" s="13"/>
    </row>
    <row r="837" ht="15.75" customHeight="1">
      <c r="B837" s="13"/>
    </row>
    <row r="838" ht="15.75" customHeight="1">
      <c r="B838" s="13"/>
    </row>
    <row r="839" ht="15.75" customHeight="1">
      <c r="B839" s="13"/>
    </row>
    <row r="840" ht="15.75" customHeight="1">
      <c r="B840" s="13"/>
    </row>
    <row r="841" ht="15.75" customHeight="1">
      <c r="B841" s="13"/>
    </row>
    <row r="842" ht="15.75" customHeight="1">
      <c r="B842" s="13"/>
    </row>
    <row r="843" ht="15.75" customHeight="1">
      <c r="B843" s="13"/>
    </row>
    <row r="844" ht="15.75" customHeight="1">
      <c r="B844" s="13"/>
    </row>
    <row r="845" ht="15.75" customHeight="1">
      <c r="B845" s="13"/>
    </row>
    <row r="846" ht="15.75" customHeight="1">
      <c r="B846" s="13"/>
    </row>
    <row r="847" ht="15.75" customHeight="1">
      <c r="B847" s="13"/>
    </row>
    <row r="848" ht="15.75" customHeight="1">
      <c r="B848" s="13"/>
    </row>
    <row r="849" ht="15.75" customHeight="1">
      <c r="B849" s="13"/>
    </row>
    <row r="850" ht="15.75" customHeight="1">
      <c r="B850" s="13"/>
    </row>
    <row r="851" ht="15.75" customHeight="1">
      <c r="B851" s="13"/>
    </row>
    <row r="852" ht="15.75" customHeight="1">
      <c r="B852" s="13"/>
    </row>
    <row r="853" ht="15.75" customHeight="1">
      <c r="B853" s="13"/>
    </row>
    <row r="854" ht="15.75" customHeight="1">
      <c r="B854" s="13"/>
    </row>
    <row r="855" ht="15.75" customHeight="1">
      <c r="B855" s="13"/>
    </row>
    <row r="856" ht="15.75" customHeight="1">
      <c r="B856" s="13"/>
    </row>
    <row r="857" ht="15.75" customHeight="1">
      <c r="B857" s="13"/>
    </row>
    <row r="858" ht="15.75" customHeight="1">
      <c r="B858" s="13"/>
    </row>
    <row r="859" ht="15.75" customHeight="1">
      <c r="B859" s="13"/>
    </row>
    <row r="860" ht="15.75" customHeight="1">
      <c r="B860" s="13"/>
    </row>
    <row r="861" ht="15.75" customHeight="1">
      <c r="B861" s="13"/>
    </row>
    <row r="862" ht="15.75" customHeight="1">
      <c r="B862" s="13"/>
    </row>
    <row r="863" ht="15.75" customHeight="1">
      <c r="B863" s="13"/>
    </row>
    <row r="864" ht="15.75" customHeight="1">
      <c r="B864" s="13"/>
    </row>
    <row r="865" ht="15.75" customHeight="1">
      <c r="B865" s="13"/>
    </row>
    <row r="866" ht="15.75" customHeight="1">
      <c r="B866" s="13"/>
    </row>
    <row r="867" ht="15.75" customHeight="1">
      <c r="B867" s="13"/>
    </row>
    <row r="868" ht="15.75" customHeight="1">
      <c r="B868" s="13"/>
    </row>
    <row r="869" ht="15.75" customHeight="1">
      <c r="B869" s="13"/>
    </row>
    <row r="870" ht="15.75" customHeight="1">
      <c r="B870" s="13"/>
    </row>
    <row r="871" ht="15.75" customHeight="1">
      <c r="B871" s="13"/>
    </row>
    <row r="872" ht="15.75" customHeight="1">
      <c r="B872" s="13"/>
    </row>
    <row r="873" ht="15.75" customHeight="1">
      <c r="B873" s="13"/>
    </row>
    <row r="874" ht="15.75" customHeight="1">
      <c r="B874" s="13"/>
    </row>
    <row r="875" ht="15.75" customHeight="1">
      <c r="B875" s="13"/>
    </row>
    <row r="876" ht="15.75" customHeight="1">
      <c r="B876" s="13"/>
    </row>
    <row r="877" ht="15.75" customHeight="1">
      <c r="B877" s="13"/>
    </row>
    <row r="878" ht="15.75" customHeight="1">
      <c r="B878" s="13"/>
    </row>
    <row r="879" ht="15.75" customHeight="1">
      <c r="B879" s="13"/>
    </row>
    <row r="880" ht="15.75" customHeight="1">
      <c r="B880" s="13"/>
    </row>
    <row r="881" ht="15.75" customHeight="1">
      <c r="B881" s="13"/>
    </row>
    <row r="882" ht="15.75" customHeight="1">
      <c r="B882" s="13"/>
    </row>
    <row r="883" ht="15.75" customHeight="1">
      <c r="B883" s="13"/>
    </row>
    <row r="884" ht="15.75" customHeight="1">
      <c r="B884" s="13"/>
    </row>
    <row r="885" ht="15.75" customHeight="1">
      <c r="B885" s="13"/>
    </row>
    <row r="886" ht="15.75" customHeight="1">
      <c r="B886" s="13"/>
    </row>
    <row r="887" ht="15.75" customHeight="1">
      <c r="B887" s="13"/>
    </row>
    <row r="888" ht="15.75" customHeight="1">
      <c r="B888" s="13"/>
    </row>
    <row r="889" ht="15.75" customHeight="1">
      <c r="B889" s="13"/>
    </row>
    <row r="890" ht="15.75" customHeight="1">
      <c r="B890" s="13"/>
    </row>
    <row r="891" ht="15.75" customHeight="1">
      <c r="B891" s="13"/>
    </row>
    <row r="892" ht="15.75" customHeight="1">
      <c r="B892" s="13"/>
    </row>
    <row r="893" ht="15.75" customHeight="1">
      <c r="B893" s="13"/>
    </row>
    <row r="894" ht="15.75" customHeight="1">
      <c r="B894" s="13"/>
    </row>
    <row r="895" ht="15.75" customHeight="1">
      <c r="B895" s="13"/>
    </row>
    <row r="896" ht="15.75" customHeight="1">
      <c r="B896" s="13"/>
    </row>
    <row r="897" ht="15.75" customHeight="1">
      <c r="B897" s="13"/>
    </row>
    <row r="898" ht="15.75" customHeight="1">
      <c r="B898" s="13"/>
    </row>
    <row r="899" ht="15.75" customHeight="1">
      <c r="B899" s="13"/>
    </row>
    <row r="900" ht="15.75" customHeight="1">
      <c r="B900" s="13"/>
    </row>
    <row r="901" ht="15.75" customHeight="1">
      <c r="B901" s="13"/>
    </row>
    <row r="902" ht="15.75" customHeight="1">
      <c r="B902" s="13"/>
    </row>
    <row r="903" ht="15.75" customHeight="1">
      <c r="B903" s="13"/>
    </row>
    <row r="904" ht="15.75" customHeight="1">
      <c r="B904" s="13"/>
    </row>
    <row r="905" ht="15.75" customHeight="1">
      <c r="B905" s="13"/>
    </row>
    <row r="906" ht="15.75" customHeight="1">
      <c r="B906" s="13"/>
    </row>
    <row r="907" ht="15.75" customHeight="1">
      <c r="B907" s="13"/>
    </row>
    <row r="908" ht="15.75" customHeight="1">
      <c r="B908" s="13"/>
    </row>
    <row r="909" ht="15.75" customHeight="1">
      <c r="B909" s="13"/>
    </row>
    <row r="910" ht="15.75" customHeight="1">
      <c r="B910" s="13"/>
    </row>
    <row r="911" ht="15.75" customHeight="1">
      <c r="B911" s="13"/>
    </row>
    <row r="912" ht="15.75" customHeight="1">
      <c r="B912" s="13"/>
    </row>
    <row r="913" ht="15.75" customHeight="1">
      <c r="B913" s="13"/>
    </row>
    <row r="914" ht="15.75" customHeight="1">
      <c r="B914" s="13"/>
    </row>
    <row r="915" ht="15.75" customHeight="1">
      <c r="B915" s="13"/>
    </row>
    <row r="916" ht="15.75" customHeight="1">
      <c r="B916" s="13"/>
    </row>
    <row r="917" ht="15.75" customHeight="1">
      <c r="B917" s="13"/>
    </row>
    <row r="918" ht="15.75" customHeight="1">
      <c r="B918" s="13"/>
    </row>
    <row r="919" ht="15.75" customHeight="1">
      <c r="B919" s="13"/>
    </row>
    <row r="920" ht="15.75" customHeight="1">
      <c r="B920" s="13"/>
    </row>
    <row r="921" ht="15.75" customHeight="1">
      <c r="B921" s="13"/>
    </row>
    <row r="922" ht="15.75" customHeight="1">
      <c r="B922" s="13"/>
    </row>
    <row r="923" ht="15.75" customHeight="1">
      <c r="B923" s="13"/>
    </row>
    <row r="924" ht="15.75" customHeight="1">
      <c r="B924" s="13"/>
    </row>
    <row r="925" ht="15.75" customHeight="1">
      <c r="B925" s="13"/>
    </row>
    <row r="926" ht="15.75" customHeight="1">
      <c r="B926" s="13"/>
    </row>
    <row r="927" ht="15.75" customHeight="1">
      <c r="B927" s="13"/>
    </row>
    <row r="928" ht="15.75" customHeight="1">
      <c r="B928" s="13"/>
    </row>
    <row r="929" ht="15.75" customHeight="1">
      <c r="B929" s="13"/>
    </row>
    <row r="930" ht="15.75" customHeight="1">
      <c r="B930" s="13"/>
    </row>
    <row r="931" ht="15.75" customHeight="1">
      <c r="B931" s="13"/>
    </row>
    <row r="932" ht="15.75" customHeight="1">
      <c r="B932" s="13"/>
    </row>
    <row r="933" ht="15.75" customHeight="1">
      <c r="B933" s="13"/>
    </row>
    <row r="934" ht="15.75" customHeight="1">
      <c r="B934" s="13"/>
    </row>
    <row r="935" ht="15.75" customHeight="1">
      <c r="B935" s="13"/>
    </row>
    <row r="936" ht="15.75" customHeight="1">
      <c r="B936" s="13"/>
    </row>
    <row r="937" ht="15.75" customHeight="1">
      <c r="B937" s="13"/>
    </row>
    <row r="938" ht="15.75" customHeight="1">
      <c r="B938" s="13"/>
    </row>
    <row r="939" ht="15.75" customHeight="1">
      <c r="B939" s="13"/>
    </row>
    <row r="940" ht="15.75" customHeight="1">
      <c r="B940" s="13"/>
    </row>
    <row r="941" ht="15.75" customHeight="1">
      <c r="B941" s="13"/>
    </row>
    <row r="942" ht="15.75" customHeight="1">
      <c r="B942" s="13"/>
    </row>
    <row r="943" ht="15.75" customHeight="1">
      <c r="B943" s="13"/>
    </row>
    <row r="944" ht="15.75" customHeight="1">
      <c r="B944" s="13"/>
    </row>
    <row r="945" ht="15.75" customHeight="1">
      <c r="B945" s="13"/>
    </row>
    <row r="946" ht="15.75" customHeight="1">
      <c r="B946" s="13"/>
    </row>
    <row r="947" ht="15.75" customHeight="1">
      <c r="B947" s="13"/>
    </row>
    <row r="948" ht="15.75" customHeight="1">
      <c r="B948" s="13"/>
    </row>
    <row r="949" ht="15.75" customHeight="1">
      <c r="B949" s="13"/>
    </row>
    <row r="950" ht="15.75" customHeight="1">
      <c r="B950" s="13"/>
    </row>
    <row r="951" ht="15.75" customHeight="1">
      <c r="B951" s="13"/>
    </row>
    <row r="952" ht="15.75" customHeight="1">
      <c r="B952" s="13"/>
    </row>
    <row r="953" ht="15.75" customHeight="1">
      <c r="B953" s="13"/>
    </row>
    <row r="954" ht="15.75" customHeight="1">
      <c r="B954" s="13"/>
    </row>
    <row r="955" ht="15.75" customHeight="1">
      <c r="B955" s="13"/>
    </row>
    <row r="956" ht="15.75" customHeight="1">
      <c r="B956" s="13"/>
    </row>
    <row r="957" ht="15.75" customHeight="1">
      <c r="B957" s="13"/>
    </row>
    <row r="958" ht="15.75" customHeight="1">
      <c r="B958" s="13"/>
    </row>
    <row r="959" ht="15.75" customHeight="1">
      <c r="B959" s="13"/>
    </row>
    <row r="960" ht="15.75" customHeight="1">
      <c r="B960" s="13"/>
    </row>
    <row r="961" ht="15.75" customHeight="1">
      <c r="B961" s="13"/>
    </row>
    <row r="962" ht="15.75" customHeight="1">
      <c r="B962" s="13"/>
    </row>
    <row r="963" ht="15.75" customHeight="1">
      <c r="B963" s="13"/>
    </row>
    <row r="964" ht="15.75" customHeight="1">
      <c r="B964" s="13"/>
    </row>
    <row r="965" ht="15.75" customHeight="1">
      <c r="B965" s="13"/>
    </row>
    <row r="966" ht="15.75" customHeight="1">
      <c r="B966" s="13"/>
    </row>
    <row r="967" ht="15.75" customHeight="1">
      <c r="B967" s="13"/>
    </row>
    <row r="968" ht="15.75" customHeight="1">
      <c r="B968" s="13"/>
    </row>
    <row r="969" ht="15.75" customHeight="1">
      <c r="B969" s="13"/>
    </row>
    <row r="970" ht="15.75" customHeight="1">
      <c r="B970" s="13"/>
    </row>
    <row r="971" ht="15.75" customHeight="1">
      <c r="B971" s="13"/>
    </row>
    <row r="972" ht="15.75" customHeight="1">
      <c r="B972" s="13"/>
    </row>
    <row r="973" ht="15.75" customHeight="1">
      <c r="B973" s="13"/>
    </row>
    <row r="974" ht="15.75" customHeight="1">
      <c r="B974" s="13"/>
    </row>
    <row r="975" ht="15.75" customHeight="1">
      <c r="B975" s="13"/>
    </row>
    <row r="976" ht="15.75" customHeight="1">
      <c r="B976" s="13"/>
    </row>
    <row r="977" ht="15.75" customHeight="1">
      <c r="B977" s="13"/>
    </row>
    <row r="978" ht="15.75" customHeight="1">
      <c r="B978" s="13"/>
    </row>
    <row r="979" ht="15.75" customHeight="1">
      <c r="B979" s="13"/>
    </row>
    <row r="980" ht="15.75" customHeight="1">
      <c r="B980" s="13"/>
    </row>
    <row r="981" ht="15.75" customHeight="1">
      <c r="B981" s="13"/>
    </row>
    <row r="982" ht="15.75" customHeight="1">
      <c r="B982" s="13"/>
    </row>
    <row r="983" ht="15.75" customHeight="1">
      <c r="B983" s="13"/>
    </row>
    <row r="984" ht="15.75" customHeight="1">
      <c r="B984" s="13"/>
    </row>
    <row r="985" ht="15.75" customHeight="1">
      <c r="B985" s="13"/>
    </row>
    <row r="986" ht="15.75" customHeight="1">
      <c r="B986" s="13"/>
    </row>
    <row r="987" ht="15.75" customHeight="1">
      <c r="B987" s="13"/>
    </row>
    <row r="988" ht="15.75" customHeight="1">
      <c r="B988" s="13"/>
    </row>
    <row r="989" ht="15.75" customHeight="1">
      <c r="B989" s="13"/>
    </row>
    <row r="990" ht="15.75" customHeight="1">
      <c r="B990" s="13"/>
    </row>
    <row r="991" ht="15.75" customHeight="1">
      <c r="B991" s="13"/>
    </row>
    <row r="992" ht="15.75" customHeight="1">
      <c r="B992" s="13"/>
    </row>
    <row r="993" ht="15.75" customHeight="1">
      <c r="B993" s="13"/>
    </row>
    <row r="994" ht="15.75" customHeight="1">
      <c r="B994" s="13"/>
    </row>
    <row r="995" ht="15.75" customHeight="1">
      <c r="B995" s="13"/>
    </row>
    <row r="996" ht="15.75" customHeight="1">
      <c r="B996" s="13"/>
    </row>
    <row r="997" ht="15.75" customHeight="1">
      <c r="B997" s="13"/>
    </row>
    <row r="998" ht="15.75" customHeight="1">
      <c r="B998" s="13"/>
    </row>
    <row r="999" ht="15.75" customHeight="1">
      <c r="B999" s="13"/>
    </row>
    <row r="1000" ht="15.75" customHeight="1">
      <c r="B1000" s="13"/>
    </row>
  </sheetData>
  <autoFilter ref="I1:I1000"/>
  <mergeCells count="1">
    <mergeCell ref="H1:I1"/>
  </mergeCells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2.57031" defaultRowHeight="15.75" customHeight="1"/>
  <sheetData>
    <row r="1" ht="15.75" customHeight="1">
      <c r="A1" s="14">
        <v>46031</v>
      </c>
      <c r="B1" s="2" t="s">
        <v>74</v>
      </c>
      <c r="C1" s="2" t="s">
        <v>32</v>
      </c>
      <c r="D1" s="2">
        <v>695</v>
      </c>
      <c r="E1" s="2">
        <v>86.879999999999995</v>
      </c>
      <c r="F1" s="2" t="s">
        <v>33</v>
      </c>
      <c r="G1" s="2" t="s">
        <v>38</v>
      </c>
      <c r="H1" s="15">
        <v>0.79722222222222228</v>
      </c>
      <c r="J1" s="2">
        <v>0</v>
      </c>
      <c r="K1" s="2" t="s">
        <v>75</v>
      </c>
    </row>
    <row r="2" ht="15.75" customHeight="1">
      <c r="A2" s="14">
        <v>46031</v>
      </c>
      <c r="B2" s="2" t="s">
        <v>74</v>
      </c>
      <c r="C2" s="2" t="s">
        <v>32</v>
      </c>
      <c r="D2" s="2">
        <v>695</v>
      </c>
      <c r="E2" s="2">
        <v>86.879999999999995</v>
      </c>
      <c r="F2" s="2" t="s">
        <v>33</v>
      </c>
      <c r="G2" s="2" t="s">
        <v>38</v>
      </c>
      <c r="H2" s="15">
        <v>0.79513888888888884</v>
      </c>
      <c r="J2" s="2">
        <v>0</v>
      </c>
      <c r="K2" s="2" t="s">
        <v>75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2.57031" defaultRowHeight="15.75" customHeight="1"/>
  <cols>
    <col min="1" max="1" width="24.28516" customWidth="1"/>
  </cols>
  <sheetData>
    <row r="1" ht="15.75" customHeight="1">
      <c r="A1" s="8"/>
      <c r="B1" s="9" t="s">
        <v>10</v>
      </c>
      <c r="C1" s="8" t="s">
        <v>11</v>
      </c>
      <c r="D1" s="8" t="s">
        <v>12</v>
      </c>
      <c r="E1" s="8" t="s">
        <v>13</v>
      </c>
      <c r="F1" s="8" t="s">
        <v>14</v>
      </c>
    </row>
    <row r="2" ht="15.75" customHeight="1">
      <c r="A2" s="3" t="str">
        <f t="shared" ref="A2:A171" si="0">CONCATENATE(C2, " ", B2)</f>
        <v>Lorenzo Castillo 12/11/2025</v>
      </c>
      <c r="B2" s="11" t="s">
        <v>43</v>
      </c>
      <c r="C2" s="4" t="s">
        <v>15</v>
      </c>
      <c r="D2" s="7">
        <f>VLOOKUP(A2, main!$A:$D, 4, FALSE)</f>
        <v>0.37291666666666667</v>
      </c>
      <c r="E2" s="5">
        <v>0.80069444444444449</v>
      </c>
    </row>
    <row r="3" ht="15.75" customHeight="1">
      <c r="A3" s="3" t="str">
        <f t="shared" si="0"/>
        <v>Miguel Santoro 12/11/2025</v>
      </c>
      <c r="B3" s="11" t="s">
        <v>43</v>
      </c>
      <c r="C3" s="4" t="s">
        <v>32</v>
      </c>
      <c r="D3" s="7">
        <f>VLOOKUP(A3, main!$A:$D, 4, FALSE)</f>
        <v>0.41597222222222224</v>
      </c>
      <c r="E3" s="5">
        <v>0.80138888888888893</v>
      </c>
    </row>
    <row r="4" ht="15.75" customHeight="1">
      <c r="A4" s="3" t="str">
        <f t="shared" si="0"/>
        <v>Sophia Delgado 12/11/2025</v>
      </c>
      <c r="B4" s="11" t="s">
        <v>43</v>
      </c>
      <c r="C4" s="4" t="s">
        <v>36</v>
      </c>
      <c r="D4" s="7">
        <f>VLOOKUP(A4, main!$A:$D, 4, FALSE)</f>
        <v>0.42638888888888887</v>
      </c>
      <c r="E4" s="5">
        <v>0.80208333333333337</v>
      </c>
    </row>
    <row r="5" ht="15.75" customHeight="1">
      <c r="A5" s="3" t="str">
        <f t="shared" si="0"/>
        <v>Javier Morales 12/11/2025</v>
      </c>
      <c r="B5" s="11" t="s">
        <v>43</v>
      </c>
      <c r="C5" s="4" t="s">
        <v>22</v>
      </c>
      <c r="D5" s="7">
        <f>VLOOKUP(A5, main!$A:$D, 4, FALSE)</f>
        <v>0.39513888888888887</v>
      </c>
      <c r="E5" s="5">
        <v>0.80277777777777781</v>
      </c>
    </row>
    <row r="6" ht="15.75" customHeight="1">
      <c r="A6" s="3" t="str">
        <f t="shared" si="0"/>
        <v>Daniel Alvarez 12/11/2025</v>
      </c>
      <c r="B6" s="11" t="s">
        <v>43</v>
      </c>
      <c r="C6" s="4" t="s">
        <v>34</v>
      </c>
      <c r="D6" s="7">
        <f>VLOOKUP(A6, main!$A:$D, 4, FALSE)</f>
        <v>0.42222222222222222</v>
      </c>
      <c r="E6" s="5">
        <v>0.80694444444444446</v>
      </c>
    </row>
    <row r="7" ht="15.75" customHeight="1">
      <c r="A7" s="3" t="str">
        <f t="shared" si="0"/>
        <v>Gabrielle Santos 12/11/2025</v>
      </c>
      <c r="B7" s="11" t="s">
        <v>43</v>
      </c>
      <c r="C7" s="4" t="s">
        <v>24</v>
      </c>
      <c r="D7" s="7">
        <f>VLOOKUP(A7, main!$A:$D, 4, FALSE)</f>
        <v>0.41458333333333336</v>
      </c>
      <c r="E7" s="5">
        <v>0.91736111111111107</v>
      </c>
    </row>
    <row r="8" ht="15.75" customHeight="1">
      <c r="A8" s="3" t="str">
        <f t="shared" si="0"/>
        <v>Adrian Velasco 12/11/2025</v>
      </c>
      <c r="B8" s="11" t="s">
        <v>43</v>
      </c>
      <c r="C8" s="4" t="s">
        <v>28</v>
      </c>
      <c r="D8" s="7">
        <f>VLOOKUP(A8, main!$A:$D, 4, FALSE)</f>
        <v>0.41458333333333336</v>
      </c>
      <c r="E8" s="5">
        <v>0.9194444444444444</v>
      </c>
    </row>
    <row r="9" ht="15.75" customHeight="1">
      <c r="A9" s="3" t="str">
        <f t="shared" si="0"/>
        <v>Camila Torres 12/12/2025</v>
      </c>
      <c r="B9" s="11" t="s">
        <v>44</v>
      </c>
      <c r="C9" s="4" t="s">
        <v>39</v>
      </c>
      <c r="D9" s="7">
        <f>VLOOKUP(A9, main!$A:$D, 4, FALSE)</f>
        <v>0.4152777777777778</v>
      </c>
      <c r="E9" s="5">
        <v>0.79236111111111107</v>
      </c>
    </row>
    <row r="10" ht="15.75" customHeight="1">
      <c r="A10" s="3" t="str">
        <f t="shared" si="0"/>
        <v>Sophia Delgado 12/12/2025</v>
      </c>
      <c r="B10" s="11" t="s">
        <v>44</v>
      </c>
      <c r="C10" s="4" t="s">
        <v>36</v>
      </c>
      <c r="D10" s="7">
        <f>VLOOKUP(A10, main!$A:$D, 4, FALSE)</f>
        <v>0.42152777777777778</v>
      </c>
      <c r="E10" s="5">
        <v>0.79305555555555551</v>
      </c>
    </row>
    <row r="11" ht="15.75" customHeight="1">
      <c r="A11" s="3" t="str">
        <f t="shared" si="0"/>
        <v>Lorenzo Castillo 12/12/2025</v>
      </c>
      <c r="B11" s="11" t="s">
        <v>44</v>
      </c>
      <c r="C11" s="4" t="s">
        <v>15</v>
      </c>
      <c r="D11" s="7">
        <f>VLOOKUP(A11, main!$A:$D, 4, FALSE)</f>
        <v>0.37361111111111112</v>
      </c>
      <c r="E11" s="5">
        <v>0.79305555555555551</v>
      </c>
    </row>
    <row r="12" ht="15.75" customHeight="1">
      <c r="A12" s="3" t="str">
        <f t="shared" si="0"/>
        <v>Daniel Alvarez 12/12/2025</v>
      </c>
      <c r="B12" s="11" t="s">
        <v>44</v>
      </c>
      <c r="C12" s="4" t="s">
        <v>34</v>
      </c>
      <c r="D12" s="7">
        <f>VLOOKUP(A12, main!$A:$D, 4, FALSE)</f>
        <v>0.43055555555555558</v>
      </c>
      <c r="E12" s="5">
        <v>0.79374999999999996</v>
      </c>
    </row>
    <row r="13" ht="15.75" customHeight="1">
      <c r="A13" s="3" t="str">
        <f t="shared" si="0"/>
        <v>Javier Morales 12/12/2025</v>
      </c>
      <c r="B13" s="11" t="s">
        <v>44</v>
      </c>
      <c r="C13" s="4" t="s">
        <v>22</v>
      </c>
      <c r="D13" s="7">
        <f>VLOOKUP(A13, main!$A:$D, 4, FALSE)</f>
        <v>0.38750000000000001</v>
      </c>
      <c r="E13" s="5">
        <v>0.79374999999999996</v>
      </c>
    </row>
    <row r="14" ht="15.75" customHeight="1">
      <c r="A14" s="3" t="str">
        <f t="shared" si="0"/>
        <v>Adrian Velasco 12/12/2025</v>
      </c>
      <c r="B14" s="11" t="s">
        <v>44</v>
      </c>
      <c r="C14" s="4" t="s">
        <v>28</v>
      </c>
      <c r="D14" s="7">
        <f>VLOOKUP(A14, main!$A:$D, 4, FALSE)</f>
        <v>0.41041666666666665</v>
      </c>
      <c r="E14" s="5">
        <v>0.9194444444444444</v>
      </c>
    </row>
    <row r="15" ht="15.75" customHeight="1">
      <c r="A15" s="3" t="str">
        <f t="shared" si="0"/>
        <v>Gabrielle Santos 12/12/2025</v>
      </c>
      <c r="B15" s="11" t="s">
        <v>44</v>
      </c>
      <c r="C15" s="4" t="s">
        <v>24</v>
      </c>
      <c r="D15" s="7">
        <f>VLOOKUP(A15, main!$A:$D, 4, FALSE)</f>
        <v>0.41666666666666669</v>
      </c>
      <c r="E15" s="5">
        <v>0.92013888888888884</v>
      </c>
    </row>
    <row r="16" ht="15.75" customHeight="1">
      <c r="A16" s="3" t="str">
        <f t="shared" si="0"/>
        <v>Sophia Delgado 12/13/2025</v>
      </c>
      <c r="B16" s="11" t="s">
        <v>45</v>
      </c>
      <c r="C16" s="4" t="s">
        <v>36</v>
      </c>
      <c r="D16" s="7">
        <f>VLOOKUP(A16, main!$A:$D, 4, FALSE)</f>
        <v>0.42499999999999999</v>
      </c>
      <c r="E16" s="5">
        <v>0.66111111111111109</v>
      </c>
    </row>
    <row r="17" ht="15.75" customHeight="1">
      <c r="A17" s="3" t="str">
        <f t="shared" si="0"/>
        <v>Miguel Santoro 12/13/2025</v>
      </c>
      <c r="B17" s="11" t="s">
        <v>45</v>
      </c>
      <c r="C17" s="4" t="s">
        <v>32</v>
      </c>
      <c r="D17" s="7">
        <f>VLOOKUP(A17, main!$A:$D, 4, FALSE)</f>
        <v>0.40000000000000002</v>
      </c>
      <c r="E17" s="5">
        <v>0.79236111111111107</v>
      </c>
    </row>
    <row r="18" ht="15.75" customHeight="1">
      <c r="A18" s="3" t="str">
        <f t="shared" si="0"/>
        <v>Lorenzo Castillo 12/13/2025</v>
      </c>
      <c r="B18" s="11" t="s">
        <v>45</v>
      </c>
      <c r="C18" s="4" t="s">
        <v>15</v>
      </c>
      <c r="D18" s="7">
        <f>VLOOKUP(A18, main!$A:$D, 4, FALSE)</f>
        <v>0.375</v>
      </c>
      <c r="E18" s="5">
        <v>0.79374999999999996</v>
      </c>
    </row>
    <row r="19" ht="15.75" customHeight="1">
      <c r="A19" s="3" t="str">
        <f t="shared" si="0"/>
        <v>Adrian Velasco 12/13/2025</v>
      </c>
      <c r="B19" s="11" t="s">
        <v>45</v>
      </c>
      <c r="C19" s="4" t="s">
        <v>28</v>
      </c>
      <c r="D19" s="7">
        <f>VLOOKUP(A19, main!$A:$D, 4, FALSE)</f>
        <v>0.41249999999999998</v>
      </c>
      <c r="E19" s="5">
        <v>0.91736111111111107</v>
      </c>
    </row>
    <row r="20" ht="15.75" customHeight="1">
      <c r="A20" s="3" t="str">
        <f t="shared" si="0"/>
        <v>Gabrielle Santos 12/13/2025</v>
      </c>
      <c r="B20" s="11" t="s">
        <v>45</v>
      </c>
      <c r="C20" s="4" t="s">
        <v>24</v>
      </c>
      <c r="D20" s="7">
        <f>VLOOKUP(A20, main!$A:$D, 4, FALSE)</f>
        <v>0.41111111111111109</v>
      </c>
      <c r="E20" s="5">
        <v>0.91874999999999996</v>
      </c>
    </row>
    <row r="21" ht="15.75" customHeight="1">
      <c r="A21" s="3" t="str">
        <f t="shared" si="0"/>
        <v>Javier Morales 12/13/2025</v>
      </c>
      <c r="B21" s="11" t="s">
        <v>45</v>
      </c>
      <c r="C21" s="4" t="s">
        <v>22</v>
      </c>
      <c r="D21" s="7">
        <f>VLOOKUP(A21, main!$A:$D, 4, FALSE)</f>
        <v>0.39930555555555558</v>
      </c>
      <c r="E21" s="5">
        <v>0.9375</v>
      </c>
    </row>
    <row r="22" ht="15.75" customHeight="1">
      <c r="A22" s="3" t="str">
        <f t="shared" si="0"/>
        <v>Miguel Santoro 12/14/2025</v>
      </c>
      <c r="B22" s="11" t="s">
        <v>46</v>
      </c>
      <c r="C22" s="4" t="s">
        <v>32</v>
      </c>
      <c r="D22" s="7">
        <f>VLOOKUP(A22, main!$A:$D, 4, FALSE)</f>
        <v>0.41111111111111109</v>
      </c>
      <c r="E22" s="5">
        <v>0.79513888888888884</v>
      </c>
    </row>
    <row r="23" ht="15.75" customHeight="1">
      <c r="A23" s="3" t="str">
        <f t="shared" si="0"/>
        <v>Lorenzo Castillo 12/14/2025</v>
      </c>
      <c r="B23" s="11" t="s">
        <v>46</v>
      </c>
      <c r="C23" s="4" t="s">
        <v>15</v>
      </c>
      <c r="D23" s="7">
        <f>VLOOKUP(A23, main!$A:$D, 4, FALSE)</f>
        <v>0.37083333333333335</v>
      </c>
      <c r="E23" s="5">
        <v>0.79583333333333328</v>
      </c>
    </row>
    <row r="24" ht="15.75" customHeight="1">
      <c r="A24" s="3" t="str">
        <f t="shared" si="0"/>
        <v>Javier Morales 12/14/2025</v>
      </c>
      <c r="B24" s="11" t="s">
        <v>46</v>
      </c>
      <c r="C24" s="4" t="s">
        <v>22</v>
      </c>
      <c r="D24" s="7">
        <f>VLOOKUP(A24, main!$A:$D, 4, FALSE)</f>
        <v>0.39374999999999999</v>
      </c>
      <c r="E24" s="5">
        <v>0.80000000000000004</v>
      </c>
    </row>
    <row r="25" ht="15.75" customHeight="1">
      <c r="A25" s="3" t="str">
        <f t="shared" si="0"/>
        <v>Gabrielle Santos 12/14/2025</v>
      </c>
      <c r="B25" s="11" t="s">
        <v>46</v>
      </c>
      <c r="C25" s="4" t="s">
        <v>24</v>
      </c>
      <c r="D25" s="7">
        <f>VLOOKUP(A25, main!$A:$D, 4, FALSE)</f>
        <v>0.41319444444444442</v>
      </c>
      <c r="E25" s="5">
        <v>0.91666666666666663</v>
      </c>
    </row>
    <row r="26" ht="15.75" customHeight="1">
      <c r="A26" s="3" t="str">
        <f t="shared" si="0"/>
        <v>Adrian Velasco 12/14/2025</v>
      </c>
      <c r="B26" s="11" t="s">
        <v>46</v>
      </c>
      <c r="C26" s="4" t="s">
        <v>28</v>
      </c>
      <c r="D26" s="7">
        <f>VLOOKUP(A26, main!$A:$D, 4, FALSE)</f>
        <v>0.41388888888888886</v>
      </c>
      <c r="E26" s="5">
        <v>0.91666666666666663</v>
      </c>
    </row>
    <row r="27" ht="15.75" customHeight="1">
      <c r="A27" s="3" t="str">
        <f t="shared" si="0"/>
        <v>Camila Torres 12/14/2025</v>
      </c>
      <c r="B27" s="11" t="s">
        <v>46</v>
      </c>
      <c r="C27" s="4" t="s">
        <v>39</v>
      </c>
      <c r="D27" s="7">
        <f>VLOOKUP(A27, main!$A:$D, 4, FALSE)</f>
        <v>0.41458333333333336</v>
      </c>
      <c r="E27" s="5">
        <v>0.9375</v>
      </c>
    </row>
    <row r="28" ht="15.75" customHeight="1">
      <c r="A28" s="3" t="str">
        <f t="shared" si="0"/>
        <v>Camila Torres 12/15/2025</v>
      </c>
      <c r="B28" s="11" t="s">
        <v>47</v>
      </c>
      <c r="C28" s="4" t="s">
        <v>39</v>
      </c>
      <c r="D28" s="7">
        <f>VLOOKUP(A28, main!$A:$D, 4, FALSE)</f>
        <v>0.41736111111111113</v>
      </c>
      <c r="E28" s="5">
        <v>0.79305555555555551</v>
      </c>
    </row>
    <row r="29" ht="15.75" customHeight="1">
      <c r="A29" s="3" t="str">
        <f t="shared" si="0"/>
        <v>Javier Morales 12/15/2025</v>
      </c>
      <c r="B29" s="11" t="s">
        <v>47</v>
      </c>
      <c r="C29" s="4" t="s">
        <v>22</v>
      </c>
      <c r="D29" s="7">
        <f>VLOOKUP(A29, main!$A:$D, 4, FALSE)</f>
        <v>0.39652777777777776</v>
      </c>
      <c r="E29" s="5">
        <v>0.79374999999999996</v>
      </c>
    </row>
    <row r="30" ht="15.75" customHeight="1">
      <c r="A30" s="3" t="str">
        <f t="shared" si="0"/>
        <v>Miguel Santoro 12/15/2025</v>
      </c>
      <c r="B30" s="11" t="s">
        <v>47</v>
      </c>
      <c r="C30" s="4" t="s">
        <v>32</v>
      </c>
      <c r="D30" s="7">
        <f>VLOOKUP(A30, main!$A:$D, 4, FALSE)</f>
        <v>0.43819444444444444</v>
      </c>
      <c r="E30" s="5">
        <v>0.7944444444444444</v>
      </c>
    </row>
    <row r="31" ht="15.75" customHeight="1">
      <c r="A31" s="3" t="str">
        <f t="shared" si="0"/>
        <v>Sophia Delgado 12/15/2025</v>
      </c>
      <c r="B31" s="11" t="s">
        <v>47</v>
      </c>
      <c r="C31" s="4" t="s">
        <v>36</v>
      </c>
      <c r="D31" s="7">
        <f>VLOOKUP(A31, main!$A:$D, 4, FALSE)</f>
        <v>0.42708333333333331</v>
      </c>
      <c r="E31" s="5">
        <v>0.7944444444444444</v>
      </c>
    </row>
    <row r="32" ht="15.75" customHeight="1">
      <c r="A32" s="3" t="str">
        <f t="shared" si="0"/>
        <v>Lorenzo Castillo 12/15/2025</v>
      </c>
      <c r="B32" s="11" t="s">
        <v>47</v>
      </c>
      <c r="C32" s="4" t="s">
        <v>15</v>
      </c>
      <c r="D32" s="7">
        <f>VLOOKUP(A32, main!$A:$D, 4, FALSE)</f>
        <v>0.375</v>
      </c>
      <c r="E32" s="5">
        <v>0.79791666666666672</v>
      </c>
    </row>
    <row r="33" ht="15.75" customHeight="1">
      <c r="A33" s="3" t="str">
        <f t="shared" si="0"/>
        <v>Daniel Alvarez 12/15/2025</v>
      </c>
      <c r="B33" s="11" t="s">
        <v>47</v>
      </c>
      <c r="C33" s="4" t="s">
        <v>34</v>
      </c>
      <c r="D33" s="7">
        <f>VLOOKUP(A33, main!$A:$D, 4, FALSE)</f>
        <v>0.43125000000000002</v>
      </c>
      <c r="E33" s="5">
        <v>0.7993055555555556</v>
      </c>
    </row>
    <row r="34" ht="15.75" customHeight="1">
      <c r="A34" s="3" t="str">
        <f t="shared" si="0"/>
        <v>Gabrielle Santos 12/15/2025</v>
      </c>
      <c r="B34" s="11" t="s">
        <v>47</v>
      </c>
      <c r="C34" s="4" t="s">
        <v>24</v>
      </c>
      <c r="D34" s="7">
        <f>VLOOKUP(A34, main!$A:$D, 4, FALSE)</f>
        <v>0.41249999999999998</v>
      </c>
      <c r="E34" s="5">
        <v>0.91666666666666663</v>
      </c>
    </row>
    <row r="35" ht="15.75" customHeight="1">
      <c r="A35" s="3" t="str">
        <f t="shared" si="0"/>
        <v>Gabrielle Santos 12/15/2025</v>
      </c>
      <c r="B35" s="11" t="s">
        <v>47</v>
      </c>
      <c r="C35" s="4" t="s">
        <v>24</v>
      </c>
      <c r="D35" s="7">
        <f>VLOOKUP(A35, main!$A:$D, 4, FALSE)</f>
        <v>0.41249999999999998</v>
      </c>
      <c r="E35" s="5">
        <v>0.91666666666666663</v>
      </c>
    </row>
    <row r="36" ht="15.75" customHeight="1">
      <c r="A36" s="3" t="str">
        <f t="shared" si="0"/>
        <v>Adrian Velasco 12/15/2025</v>
      </c>
      <c r="B36" s="11" t="s">
        <v>47</v>
      </c>
      <c r="C36" s="4" t="s">
        <v>28</v>
      </c>
      <c r="D36" s="7">
        <f>VLOOKUP(A36, main!$A:$D, 4, FALSE)</f>
        <v>0.41388888888888886</v>
      </c>
      <c r="E36" s="5">
        <v>0.9243055555555556</v>
      </c>
    </row>
    <row r="37" ht="15.75" customHeight="1">
      <c r="A37" s="3" t="str">
        <f t="shared" si="0"/>
        <v>Daniel Alvarez 12/16/2025</v>
      </c>
      <c r="B37" s="11" t="s">
        <v>48</v>
      </c>
      <c r="C37" s="4" t="s">
        <v>34</v>
      </c>
      <c r="D37" s="7">
        <f>VLOOKUP(A37, main!$A:$D, 4, FALSE)</f>
        <v>0.42291666666666666</v>
      </c>
      <c r="E37" s="5">
        <v>0.79374999999999996</v>
      </c>
    </row>
    <row r="38" ht="15.75" customHeight="1">
      <c r="A38" s="3" t="str">
        <f t="shared" si="0"/>
        <v>Sophia Delgado 12/16/2025</v>
      </c>
      <c r="B38" s="11" t="s">
        <v>48</v>
      </c>
      <c r="C38" s="4" t="s">
        <v>36</v>
      </c>
      <c r="D38" s="7">
        <f>VLOOKUP(A38, main!$A:$D, 4, FALSE)</f>
        <v>0.41736111111111113</v>
      </c>
      <c r="E38" s="5">
        <v>0.7944444444444444</v>
      </c>
    </row>
    <row r="39" ht="15.75" customHeight="1">
      <c r="A39" s="3" t="str">
        <f t="shared" si="0"/>
        <v>Lorenzo Castillo 12/16/2025</v>
      </c>
      <c r="B39" s="11" t="s">
        <v>48</v>
      </c>
      <c r="C39" s="4" t="s">
        <v>15</v>
      </c>
      <c r="D39" s="7">
        <f>VLOOKUP(A39, main!$A:$D, 4, FALSE)</f>
        <v>0.37361111111111112</v>
      </c>
      <c r="E39" s="5">
        <v>0.79513888888888884</v>
      </c>
    </row>
    <row r="40" ht="15.75" customHeight="1">
      <c r="A40" s="3" t="str">
        <f t="shared" si="0"/>
        <v>Camila Torres 12/16/2025</v>
      </c>
      <c r="B40" s="11" t="s">
        <v>48</v>
      </c>
      <c r="C40" s="4" t="s">
        <v>39</v>
      </c>
      <c r="D40" s="7">
        <f>VLOOKUP(A40, main!$A:$D, 4, FALSE)</f>
        <v>0.4465277777777778</v>
      </c>
      <c r="E40" s="5">
        <v>0.79513888888888884</v>
      </c>
    </row>
    <row r="41" ht="15.75" customHeight="1">
      <c r="A41" s="3" t="str">
        <f t="shared" si="0"/>
        <v>Gabrielle Santos 12/16/2025</v>
      </c>
      <c r="B41" s="11" t="s">
        <v>48</v>
      </c>
      <c r="C41" s="4" t="s">
        <v>24</v>
      </c>
      <c r="D41" s="7">
        <f>VLOOKUP(A41, main!$A:$D, 4, FALSE)</f>
        <v>0.39930555555555558</v>
      </c>
      <c r="E41" s="5">
        <v>0.91666666666666663</v>
      </c>
    </row>
    <row r="42" ht="15.75" customHeight="1">
      <c r="A42" s="3" t="str">
        <f t="shared" si="0"/>
        <v>Javier Morales 12/16/2025</v>
      </c>
      <c r="B42" s="11" t="s">
        <v>48</v>
      </c>
      <c r="C42" s="4" t="s">
        <v>22</v>
      </c>
      <c r="D42" s="7">
        <f>VLOOKUP(A42, main!$A:$D, 4, FALSE)</f>
        <v>0.38680555555555557</v>
      </c>
      <c r="E42" s="5">
        <v>0.9375</v>
      </c>
    </row>
    <row r="43" ht="15.75" customHeight="1">
      <c r="A43" s="3" t="str">
        <f t="shared" si="0"/>
        <v>Camila Torres 12/17/2025</v>
      </c>
      <c r="B43" s="11" t="s">
        <v>49</v>
      </c>
      <c r="C43" s="4" t="s">
        <v>39</v>
      </c>
      <c r="D43" s="7">
        <f>VLOOKUP(A43, main!$A:$D, 4, FALSE)</f>
        <v>0.42916666666666664</v>
      </c>
      <c r="E43" s="5">
        <v>0.79791666666666672</v>
      </c>
    </row>
    <row r="44" ht="15.75" customHeight="1">
      <c r="A44" s="3" t="str">
        <f t="shared" si="0"/>
        <v>Daniel Alvarez 12/17/2025</v>
      </c>
      <c r="B44" s="11" t="s">
        <v>49</v>
      </c>
      <c r="C44" s="4" t="s">
        <v>34</v>
      </c>
      <c r="D44" s="7">
        <f>VLOOKUP(A44, main!$A:$D, 4, FALSE)</f>
        <v>0.42986111111111114</v>
      </c>
      <c r="E44" s="5">
        <v>0.79861111111111116</v>
      </c>
    </row>
    <row r="45" ht="15.75" customHeight="1">
      <c r="A45" s="3" t="str">
        <f t="shared" si="0"/>
        <v>Javier Morales 12/17/2025</v>
      </c>
      <c r="B45" s="11" t="s">
        <v>49</v>
      </c>
      <c r="C45" s="4" t="s">
        <v>22</v>
      </c>
      <c r="D45" s="7">
        <f>VLOOKUP(A45, main!$A:$D, 4, FALSE)</f>
        <v>0.39444444444444443</v>
      </c>
      <c r="E45" s="5">
        <v>0.7993055555555556</v>
      </c>
    </row>
    <row r="46" ht="15.75" customHeight="1">
      <c r="A46" s="3" t="str">
        <f t="shared" si="0"/>
        <v>Adrian Velasco 12/17/2025</v>
      </c>
      <c r="B46" s="11" t="s">
        <v>49</v>
      </c>
      <c r="C46" s="4" t="s">
        <v>28</v>
      </c>
      <c r="D46" s="7">
        <f>VLOOKUP(A46, main!$A:$D, 4, FALSE)</f>
        <v>0.4548611111111111</v>
      </c>
      <c r="E46" s="5">
        <v>0.91666666666666663</v>
      </c>
    </row>
    <row r="47" ht="15.75" customHeight="1">
      <c r="A47" s="3" t="str">
        <f t="shared" si="0"/>
        <v>Gabrielle Santos 12/17/2025</v>
      </c>
      <c r="B47" s="11" t="s">
        <v>49</v>
      </c>
      <c r="C47" s="4" t="s">
        <v>24</v>
      </c>
      <c r="D47" s="7">
        <f>VLOOKUP(A47, main!$A:$D, 4, FALSE)</f>
        <v>0.41249999999999998</v>
      </c>
      <c r="E47" s="5">
        <v>0.93125000000000002</v>
      </c>
    </row>
    <row r="48" ht="15.75" customHeight="1">
      <c r="A48" s="3" t="str">
        <f t="shared" si="0"/>
        <v>Sophia Delgado 12/17/2025</v>
      </c>
      <c r="B48" s="11" t="s">
        <v>49</v>
      </c>
      <c r="C48" s="4" t="s">
        <v>36</v>
      </c>
      <c r="D48" s="7">
        <f>VLOOKUP(A48, main!$A:$D, 4, FALSE)</f>
        <v>0.41319444444444442</v>
      </c>
      <c r="E48" s="5">
        <v>0.9375</v>
      </c>
    </row>
    <row r="49" ht="15.75" customHeight="1">
      <c r="A49" s="3" t="str">
        <f t="shared" si="0"/>
        <v>Daniel Alvarez 12/18/2025</v>
      </c>
      <c r="B49" s="11" t="s">
        <v>50</v>
      </c>
      <c r="C49" s="4" t="s">
        <v>34</v>
      </c>
      <c r="D49" s="7">
        <f>VLOOKUP(A49, main!$A:$D, 4, FALSE)</f>
        <v>0.4284722222222222</v>
      </c>
      <c r="E49" s="5">
        <v>0.79305555555555551</v>
      </c>
    </row>
    <row r="50" ht="15.75" customHeight="1">
      <c r="A50" s="3" t="str">
        <f t="shared" si="0"/>
        <v>Miguel Santoro 12/18/2025</v>
      </c>
      <c r="B50" s="11" t="s">
        <v>50</v>
      </c>
      <c r="C50" s="4" t="s">
        <v>32</v>
      </c>
      <c r="D50" s="7">
        <f>VLOOKUP(A50, main!$A:$D, 4, FALSE)</f>
        <v>0.4201388888888889</v>
      </c>
      <c r="E50" s="5">
        <v>0.79374999999999996</v>
      </c>
    </row>
    <row r="51" ht="15.75" customHeight="1">
      <c r="A51" s="3" t="str">
        <f t="shared" si="0"/>
        <v>Lorenzo Castillo 12/18/2025</v>
      </c>
      <c r="B51" s="11" t="s">
        <v>50</v>
      </c>
      <c r="C51" s="4" t="s">
        <v>15</v>
      </c>
      <c r="D51" s="7">
        <f>VLOOKUP(A51, main!$A:$D, 4, FALSE)</f>
        <v>0.37013888888888891</v>
      </c>
      <c r="E51" s="5">
        <v>0.79513888888888884</v>
      </c>
    </row>
    <row r="52" ht="15.75" customHeight="1">
      <c r="A52" s="3" t="str">
        <f t="shared" si="0"/>
        <v>Sophia Delgado 12/18/2025</v>
      </c>
      <c r="B52" s="11" t="s">
        <v>50</v>
      </c>
      <c r="C52" s="4" t="s">
        <v>36</v>
      </c>
      <c r="D52" s="7">
        <f>VLOOKUP(A52, main!$A:$D, 4, FALSE)</f>
        <v>0.48680555555555555</v>
      </c>
      <c r="E52" s="5">
        <v>0.79652777777777772</v>
      </c>
    </row>
    <row r="53" ht="15.75" customHeight="1">
      <c r="A53" s="3" t="str">
        <f t="shared" si="0"/>
        <v>Adrian Velasco 12/18/2025</v>
      </c>
      <c r="B53" s="11" t="s">
        <v>50</v>
      </c>
      <c r="C53" s="4" t="s">
        <v>28</v>
      </c>
      <c r="D53" s="7">
        <f>VLOOKUP(A53, main!$A:$D, 4, FALSE)</f>
        <v>0.41388888888888886</v>
      </c>
      <c r="E53" s="5">
        <v>0.91597222222222219</v>
      </c>
    </row>
    <row r="54" ht="15.75" customHeight="1">
      <c r="A54" s="3" t="str">
        <f t="shared" si="0"/>
        <v>Gabrielle Santos 12/18/2025</v>
      </c>
      <c r="B54" s="11" t="s">
        <v>50</v>
      </c>
      <c r="C54" s="4" t="s">
        <v>24</v>
      </c>
      <c r="D54" s="7">
        <f>VLOOKUP(A54, main!$A:$D, 4, FALSE)</f>
        <v>0.41249999999999998</v>
      </c>
      <c r="E54" s="5">
        <v>0.91736111111111107</v>
      </c>
    </row>
    <row r="55" ht="15.75" customHeight="1">
      <c r="A55" s="3" t="str">
        <f t="shared" si="0"/>
        <v>Daniel Alvarez 12/19/2025</v>
      </c>
      <c r="B55" s="11" t="s">
        <v>51</v>
      </c>
      <c r="C55" s="4" t="s">
        <v>34</v>
      </c>
      <c r="D55" s="7">
        <f>VLOOKUP(A55, main!$A:$D, 4, FALSE)</f>
        <v>0.42777777777777776</v>
      </c>
      <c r="E55" s="5">
        <v>0.79236111111111107</v>
      </c>
    </row>
    <row r="56" ht="15.75" customHeight="1">
      <c r="A56" s="3" t="str">
        <f t="shared" si="0"/>
        <v>Camila Torres 12/19/2025</v>
      </c>
      <c r="B56" s="11" t="s">
        <v>51</v>
      </c>
      <c r="C56" s="4" t="s">
        <v>39</v>
      </c>
      <c r="D56" s="7">
        <f>VLOOKUP(A56, main!$A:$D, 4, FALSE)</f>
        <v>0.45416666666666666</v>
      </c>
      <c r="E56" s="5">
        <v>0.79305555555555551</v>
      </c>
    </row>
    <row r="57" ht="15.75" customHeight="1">
      <c r="A57" s="3" t="str">
        <f t="shared" si="0"/>
        <v>Sophia Delgado 12/19/2025</v>
      </c>
      <c r="B57" s="11" t="s">
        <v>51</v>
      </c>
      <c r="C57" s="4" t="s">
        <v>36</v>
      </c>
      <c r="D57" s="7">
        <f>VLOOKUP(A57, main!$A:$D, 4, FALSE)</f>
        <v>0.4375</v>
      </c>
      <c r="E57" s="5">
        <v>0.7944444444444444</v>
      </c>
    </row>
    <row r="58" ht="15.75" customHeight="1">
      <c r="A58" s="3" t="str">
        <f t="shared" si="0"/>
        <v>Miguel Santoro 12/19/2025</v>
      </c>
      <c r="B58" s="11" t="s">
        <v>51</v>
      </c>
      <c r="C58" s="4" t="s">
        <v>32</v>
      </c>
      <c r="D58" s="7">
        <f>VLOOKUP(A58, main!$A:$D, 4, FALSE)</f>
        <v>0.39444444444444443</v>
      </c>
      <c r="E58" s="5">
        <v>0.79513888888888884</v>
      </c>
    </row>
    <row r="59" ht="15.75" customHeight="1">
      <c r="A59" s="3" t="str">
        <f t="shared" si="0"/>
        <v>Lorenzo Castillo 12/19/2025</v>
      </c>
      <c r="B59" s="11" t="s">
        <v>51</v>
      </c>
      <c r="C59" s="4" t="s">
        <v>15</v>
      </c>
      <c r="D59" s="7">
        <f>VLOOKUP(A59, main!$A:$D, 4, FALSE)</f>
        <v>0.37430555555555556</v>
      </c>
      <c r="E59" s="5">
        <v>0.79513888888888884</v>
      </c>
    </row>
    <row r="60" ht="15.75" customHeight="1">
      <c r="A60" s="3" t="str">
        <f t="shared" si="0"/>
        <v>Adrian Velasco 12/19/2025</v>
      </c>
      <c r="B60" s="11" t="s">
        <v>51</v>
      </c>
      <c r="C60" s="4" t="s">
        <v>28</v>
      </c>
      <c r="D60" s="7">
        <f>VLOOKUP(A60, main!$A:$D, 4, FALSE)</f>
        <v>0.41249999999999998</v>
      </c>
      <c r="E60" s="5">
        <v>0.91388888888888886</v>
      </c>
    </row>
    <row r="61" ht="15.75" customHeight="1">
      <c r="A61" s="3" t="str">
        <f t="shared" si="0"/>
        <v>Javier Morales 12/19/2025</v>
      </c>
      <c r="B61" s="11" t="s">
        <v>51</v>
      </c>
      <c r="C61" s="4" t="s">
        <v>22</v>
      </c>
      <c r="D61" s="7">
        <f>VLOOKUP(A61, main!$A:$D, 4, FALSE)</f>
        <v>0.37777777777777777</v>
      </c>
      <c r="E61" s="5">
        <v>0.91805555555555551</v>
      </c>
    </row>
    <row r="62" ht="15.75" customHeight="1">
      <c r="A62" s="3" t="str">
        <f t="shared" si="0"/>
        <v>Sophia Delgado 12/20/2025</v>
      </c>
      <c r="B62" s="11" t="s">
        <v>52</v>
      </c>
      <c r="C62" s="4" t="s">
        <v>36</v>
      </c>
      <c r="D62" s="7">
        <f>VLOOKUP(A62, main!$A:$D, 4, FALSE)</f>
        <v>0.41944444444444445</v>
      </c>
      <c r="E62" s="5">
        <v>0.68055555555555558</v>
      </c>
    </row>
    <row r="63" ht="15.75" customHeight="1">
      <c r="A63" s="3" t="str">
        <f t="shared" si="0"/>
        <v>Javier Morales 12/20/2025</v>
      </c>
      <c r="B63" s="11" t="s">
        <v>52</v>
      </c>
      <c r="C63" s="4" t="s">
        <v>22</v>
      </c>
      <c r="D63" s="7">
        <f>VLOOKUP(A63, main!$A:$D, 4, FALSE)</f>
        <v>0.37847222222222221</v>
      </c>
      <c r="E63" s="5">
        <v>0.80555555555555558</v>
      </c>
    </row>
    <row r="64" ht="15.75" customHeight="1">
      <c r="A64" s="3" t="str">
        <f t="shared" si="0"/>
        <v>Miguel Santoro 12/20/2025</v>
      </c>
      <c r="B64" s="11" t="s">
        <v>52</v>
      </c>
      <c r="C64" s="4" t="s">
        <v>32</v>
      </c>
      <c r="D64" s="7">
        <f>VLOOKUP(A64, main!$A:$D, 4, FALSE)</f>
        <v>0.40763888888888888</v>
      </c>
      <c r="E64" s="5">
        <v>0.80555555555555558</v>
      </c>
    </row>
    <row r="65" ht="15.75" customHeight="1">
      <c r="A65" s="3" t="str">
        <f t="shared" si="0"/>
        <v>Adrian Velasco 12/20/2025</v>
      </c>
      <c r="B65" s="11" t="s">
        <v>52</v>
      </c>
      <c r="C65" s="4" t="s">
        <v>28</v>
      </c>
      <c r="D65" s="7">
        <f>VLOOKUP(A65, main!$A:$D, 4, FALSE)</f>
        <v>0.41458333333333336</v>
      </c>
      <c r="E65" s="5">
        <v>0.91597222222222219</v>
      </c>
    </row>
    <row r="66" ht="15.75" customHeight="1">
      <c r="A66" s="3" t="str">
        <f t="shared" si="0"/>
        <v>Gabrielle Santos 12/20/2025</v>
      </c>
      <c r="B66" s="11" t="s">
        <v>52</v>
      </c>
      <c r="C66" s="4" t="s">
        <v>24</v>
      </c>
      <c r="D66" s="7">
        <f>VLOOKUP(A66, main!$A:$D, 4, FALSE)</f>
        <v>0.41111111111111109</v>
      </c>
      <c r="E66" s="5">
        <v>0.91736111111111107</v>
      </c>
    </row>
    <row r="67" ht="15.75" customHeight="1">
      <c r="A67" s="3" t="str">
        <f t="shared" si="0"/>
        <v>Camila Torres 12/21/2025</v>
      </c>
      <c r="B67" s="11" t="s">
        <v>53</v>
      </c>
      <c r="C67" s="4" t="s">
        <v>39</v>
      </c>
      <c r="D67" s="7">
        <f>VLOOKUP(A67, main!$A:$D, 4, FALSE)</f>
        <v>0.42083333333333334</v>
      </c>
      <c r="E67" s="5">
        <v>0.79652777777777772</v>
      </c>
    </row>
    <row r="68" ht="15.75" customHeight="1">
      <c r="A68" s="3" t="str">
        <f t="shared" si="0"/>
        <v>Miguel Santoro 12/21/2025</v>
      </c>
      <c r="B68" s="11" t="s">
        <v>53</v>
      </c>
      <c r="C68" s="4" t="s">
        <v>32</v>
      </c>
      <c r="D68" s="7">
        <f>VLOOKUP(A68, main!$A:$D, 4, FALSE)</f>
        <v>0.43402777777777779</v>
      </c>
      <c r="E68" s="5">
        <v>0.80000000000000004</v>
      </c>
    </row>
    <row r="69" ht="15.75" customHeight="1">
      <c r="A69" s="3" t="str">
        <f t="shared" si="0"/>
        <v>Javier Morales 12/21/2025</v>
      </c>
      <c r="B69" s="11" t="s">
        <v>53</v>
      </c>
      <c r="C69" s="4" t="s">
        <v>22</v>
      </c>
      <c r="D69" s="7">
        <f>VLOOKUP(A69, main!$A:$D, 4, FALSE)</f>
        <v>0.39097222222222222</v>
      </c>
      <c r="E69" s="5">
        <v>0.82013888888888886</v>
      </c>
    </row>
    <row r="70" ht="15.75" customHeight="1">
      <c r="A70" s="3" t="str">
        <f t="shared" si="0"/>
        <v>Adrian Velasco 12/21/2025</v>
      </c>
      <c r="B70" s="11" t="s">
        <v>53</v>
      </c>
      <c r="C70" s="4" t="s">
        <v>28</v>
      </c>
      <c r="D70" s="7">
        <f>VLOOKUP(A70, main!$A:$D, 4, FALSE)</f>
        <v>0.41388888888888886</v>
      </c>
      <c r="E70" s="5">
        <v>0.91666666666666663</v>
      </c>
    </row>
    <row r="71" ht="15.75" customHeight="1">
      <c r="A71" s="3" t="str">
        <f t="shared" si="0"/>
        <v>Gabrielle Santos 12/21/2025</v>
      </c>
      <c r="B71" s="11" t="s">
        <v>53</v>
      </c>
      <c r="C71" s="4" t="s">
        <v>24</v>
      </c>
      <c r="D71" s="7">
        <f>VLOOKUP(A71, main!$A:$D, 4, FALSE)</f>
        <v>0.41180555555555554</v>
      </c>
      <c r="E71" s="5">
        <v>0.91805555555555551</v>
      </c>
    </row>
    <row r="72" ht="15.75" customHeight="1">
      <c r="A72" s="3" t="str">
        <f t="shared" si="0"/>
        <v>Adrian Velasco 12/22/2025</v>
      </c>
      <c r="B72" s="11" t="s">
        <v>54</v>
      </c>
      <c r="C72" s="4" t="s">
        <v>28</v>
      </c>
      <c r="D72" s="7">
        <f>VLOOKUP(A72, main!$A:$D, 4, FALSE)</f>
        <v>0.41458333333333336</v>
      </c>
      <c r="E72" s="5">
        <v>0.75138888888888888</v>
      </c>
    </row>
    <row r="73" ht="15.75" customHeight="1">
      <c r="A73" s="3" t="str">
        <f t="shared" si="0"/>
        <v>Gabrielle Santos 12/22/2025</v>
      </c>
      <c r="B73" s="11" t="s">
        <v>54</v>
      </c>
      <c r="C73" s="4" t="s">
        <v>24</v>
      </c>
      <c r="D73" s="7">
        <f>VLOOKUP(A73, main!$A:$D, 4, FALSE)</f>
        <v>0.41319444444444442</v>
      </c>
      <c r="E73" s="5">
        <v>0.75277777777777777</v>
      </c>
    </row>
    <row r="74" ht="15.75" customHeight="1">
      <c r="A74" s="3" t="str">
        <f t="shared" si="0"/>
        <v>Sophia Delgado 12/22/2025</v>
      </c>
      <c r="B74" s="11" t="s">
        <v>54</v>
      </c>
      <c r="C74" s="4" t="s">
        <v>36</v>
      </c>
      <c r="D74" s="7">
        <f>VLOOKUP(A74, main!$A:$D, 4, FALSE)</f>
        <v>0.4284722222222222</v>
      </c>
      <c r="E74" s="5">
        <v>0.77083333333333337</v>
      </c>
    </row>
    <row r="75" ht="15.75" customHeight="1">
      <c r="A75" s="3" t="str">
        <f t="shared" si="0"/>
        <v>Javier Morales 12/22/2025</v>
      </c>
      <c r="B75" s="11" t="s">
        <v>54</v>
      </c>
      <c r="C75" s="4" t="s">
        <v>22</v>
      </c>
      <c r="D75" s="7">
        <f>VLOOKUP(A75, main!$A:$D, 4, FALSE)</f>
        <v>0.40416666666666667</v>
      </c>
      <c r="E75" s="5">
        <v>0.77083333333333337</v>
      </c>
    </row>
    <row r="76" ht="15.75" customHeight="1">
      <c r="A76" s="3" t="str">
        <f t="shared" si="0"/>
        <v>Daniel Alvarez 12/22/2025</v>
      </c>
      <c r="B76" s="11" t="s">
        <v>54</v>
      </c>
      <c r="C76" s="4" t="s">
        <v>34</v>
      </c>
      <c r="D76" s="7">
        <f>VLOOKUP(A76, main!$A:$D, 4, FALSE)</f>
        <v>0.43055555555555558</v>
      </c>
      <c r="E76" s="5">
        <v>0.77083333333333337</v>
      </c>
    </row>
    <row r="77" ht="15.75" customHeight="1">
      <c r="A77" s="3" t="str">
        <f t="shared" si="0"/>
        <v>Lorenzo Castillo 12/22/2025</v>
      </c>
      <c r="B77" s="11" t="s">
        <v>54</v>
      </c>
      <c r="C77" s="4" t="s">
        <v>15</v>
      </c>
      <c r="D77" s="7">
        <f>VLOOKUP(A77, main!$A:$D, 4, FALSE)</f>
        <v>0.39166666666666666</v>
      </c>
      <c r="E77" s="5">
        <v>0.77083333333333337</v>
      </c>
    </row>
    <row r="78" ht="15.75" customHeight="1">
      <c r="A78" s="3" t="str">
        <f t="shared" si="0"/>
        <v>Miguel Santoro 12/22/2025</v>
      </c>
      <c r="B78" s="11" t="s">
        <v>54</v>
      </c>
      <c r="C78" s="4" t="s">
        <v>32</v>
      </c>
      <c r="D78" s="7">
        <f>VLOOKUP(A78, main!$A:$D, 4, FALSE)</f>
        <v>0.37847222222222221</v>
      </c>
      <c r="E78" s="5">
        <v>0.77152777777777781</v>
      </c>
    </row>
    <row r="79" ht="15.75" customHeight="1">
      <c r="A79" s="3" t="str">
        <f t="shared" si="0"/>
        <v>Camila Torres 12/22/2025</v>
      </c>
      <c r="B79" s="11" t="s">
        <v>54</v>
      </c>
      <c r="C79" s="4" t="s">
        <v>39</v>
      </c>
      <c r="D79" s="7">
        <f>VLOOKUP(A79, main!$A:$D, 4, FALSE)</f>
        <v>0.42986111111111114</v>
      </c>
      <c r="E79" s="5">
        <v>0.77222222222222225</v>
      </c>
    </row>
    <row r="80" ht="15.75" customHeight="1">
      <c r="A80" s="3" t="str">
        <f t="shared" si="0"/>
        <v>Lorenzo Castillo 12/23/2025</v>
      </c>
      <c r="B80" s="11" t="s">
        <v>55</v>
      </c>
      <c r="C80" s="4" t="s">
        <v>15</v>
      </c>
      <c r="D80" s="7">
        <f>VLOOKUP(A80, main!$A:$D, 4, FALSE)</f>
        <v>0.3888888888888889</v>
      </c>
      <c r="E80" s="5">
        <v>0.62777777777777777</v>
      </c>
    </row>
    <row r="81" ht="15.75" customHeight="1">
      <c r="A81" s="3" t="str">
        <f t="shared" si="0"/>
        <v>Javier Morales 12/23/2025</v>
      </c>
      <c r="B81" s="11" t="s">
        <v>55</v>
      </c>
      <c r="C81" s="4" t="s">
        <v>22</v>
      </c>
      <c r="D81" s="7">
        <f>VLOOKUP(A81, main!$A:$D, 4, FALSE)</f>
        <v>0.38819444444444445</v>
      </c>
      <c r="E81" s="5">
        <v>0.80625000000000002</v>
      </c>
    </row>
    <row r="82" ht="15.75" customHeight="1">
      <c r="A82" s="3" t="str">
        <f t="shared" si="0"/>
        <v>Sophia Delgado 12/23/2025</v>
      </c>
      <c r="B82" s="11" t="s">
        <v>55</v>
      </c>
      <c r="C82" s="4" t="s">
        <v>36</v>
      </c>
      <c r="D82" s="7">
        <f>VLOOKUP(A82, main!$A:$D, 4, FALSE)</f>
        <v>0.46111111111111114</v>
      </c>
      <c r="E82" s="5">
        <v>0.80625000000000002</v>
      </c>
    </row>
    <row r="83" ht="15.75" customHeight="1">
      <c r="A83" s="3" t="str">
        <f t="shared" si="0"/>
        <v>Gabrielle Santos 12/23/2025</v>
      </c>
      <c r="B83" s="11" t="s">
        <v>55</v>
      </c>
      <c r="C83" s="4" t="s">
        <v>24</v>
      </c>
      <c r="D83" s="7">
        <f>VLOOKUP(A83, main!$A:$D, 4, FALSE)</f>
        <v>0.41319444444444442</v>
      </c>
      <c r="E83" s="5">
        <v>0.91666666666666663</v>
      </c>
    </row>
    <row r="84" ht="15.75" customHeight="1">
      <c r="A84" s="3" t="str">
        <f t="shared" si="0"/>
        <v>Adrian Velasco 12/23/2025</v>
      </c>
      <c r="B84" s="11" t="s">
        <v>55</v>
      </c>
      <c r="C84" s="4" t="s">
        <v>28</v>
      </c>
      <c r="D84" s="7">
        <f>VLOOKUP(A84, main!$A:$D, 4, FALSE)</f>
        <v>0.41388888888888886</v>
      </c>
      <c r="E84" s="5">
        <v>0.91736111111111107</v>
      </c>
    </row>
    <row r="85" ht="15.75" customHeight="1">
      <c r="A85" s="3" t="str">
        <f t="shared" si="0"/>
        <v>Sophia Delgado 12/24/2025</v>
      </c>
      <c r="B85" s="11" t="s">
        <v>56</v>
      </c>
      <c r="C85" s="4" t="s">
        <v>36</v>
      </c>
      <c r="D85" s="7">
        <f>VLOOKUP(A85, main!$A:$D, 4, FALSE)</f>
        <v>0.58194444444444449</v>
      </c>
      <c r="E85" s="5">
        <v>0.64236111111111116</v>
      </c>
    </row>
    <row r="86" ht="15.75" customHeight="1">
      <c r="A86" s="3" t="str">
        <f t="shared" si="0"/>
        <v>Javier Morales 12/24/2025</v>
      </c>
      <c r="B86" s="11" t="s">
        <v>56</v>
      </c>
      <c r="C86" s="4" t="s">
        <v>22</v>
      </c>
      <c r="D86" s="7">
        <f>VLOOKUP(A86, main!$A:$D, 4, FALSE)</f>
        <v>0.35416666666666669</v>
      </c>
      <c r="E86" s="5">
        <v>0.79236111111111107</v>
      </c>
    </row>
    <row r="87" ht="15.75" customHeight="1">
      <c r="A87" s="3" t="str">
        <f t="shared" si="0"/>
        <v>Gabrielle Santos 12/24/2025</v>
      </c>
      <c r="B87" s="11" t="s">
        <v>56</v>
      </c>
      <c r="C87" s="4" t="s">
        <v>24</v>
      </c>
      <c r="D87" s="7">
        <f>VLOOKUP(A87, main!$A:$D, 4, FALSE)</f>
        <v>0.36736111111111114</v>
      </c>
      <c r="E87" s="5">
        <v>0.79305555555555551</v>
      </c>
    </row>
    <row r="88" ht="15.75" customHeight="1">
      <c r="A88" s="3" t="str">
        <f t="shared" si="0"/>
        <v>Adrian Velasco 12/25/2025</v>
      </c>
      <c r="B88" s="11" t="s">
        <v>57</v>
      </c>
      <c r="C88" s="4" t="s">
        <v>28</v>
      </c>
      <c r="D88" s="7">
        <f>VLOOKUP(A88, main!$A:$D, 4, FALSE)</f>
        <v>0.53680555555555554</v>
      </c>
      <c r="E88" s="5">
        <v>0.91874999999999996</v>
      </c>
    </row>
    <row r="89" ht="15.75" customHeight="1">
      <c r="A89" s="3" t="str">
        <f t="shared" si="0"/>
        <v>Miguel Santoro 12/26/2025</v>
      </c>
      <c r="B89" s="11" t="s">
        <v>58</v>
      </c>
      <c r="C89" s="4" t="s">
        <v>32</v>
      </c>
      <c r="D89" s="7">
        <f>VLOOKUP(A89, main!$A:$D, 4, FALSE)</f>
        <v>0.39861111111111114</v>
      </c>
      <c r="E89" s="5">
        <v>0.7944444444444444</v>
      </c>
    </row>
    <row r="90" ht="15.75" customHeight="1">
      <c r="A90" s="3" t="str">
        <f t="shared" si="0"/>
        <v>Daniel Alvarez 12/26/2025</v>
      </c>
      <c r="B90" s="11" t="s">
        <v>58</v>
      </c>
      <c r="C90" s="4" t="s">
        <v>34</v>
      </c>
      <c r="D90" s="7">
        <f>VLOOKUP(A90, main!$A:$D, 4, FALSE)</f>
        <v>0.43125000000000002</v>
      </c>
      <c r="E90" s="5">
        <v>0.7944444444444444</v>
      </c>
    </row>
    <row r="91" ht="15.75" customHeight="1">
      <c r="A91" s="3" t="str">
        <f t="shared" si="0"/>
        <v>Camila Torres 12/26/2025</v>
      </c>
      <c r="B91" s="11" t="s">
        <v>58</v>
      </c>
      <c r="C91" s="4" t="s">
        <v>39</v>
      </c>
      <c r="D91" s="7">
        <f>VLOOKUP(A91, main!$A:$D, 4, FALSE)</f>
        <v>0.4236111111111111</v>
      </c>
      <c r="E91" s="5">
        <v>0.79513888888888884</v>
      </c>
    </row>
    <row r="92" ht="15.75" customHeight="1">
      <c r="A92" s="3" t="str">
        <f t="shared" si="0"/>
        <v>Javier Morales 12/26/2025</v>
      </c>
      <c r="B92" s="11" t="s">
        <v>58</v>
      </c>
      <c r="C92" s="4" t="s">
        <v>22</v>
      </c>
      <c r="D92" s="7">
        <f>VLOOKUP(A92, main!$A:$D, 4, FALSE)</f>
        <v>0.40972222222222221</v>
      </c>
      <c r="E92" s="5">
        <v>0.79583333333333328</v>
      </c>
    </row>
    <row r="93" ht="15.75" customHeight="1">
      <c r="A93" s="3" t="str">
        <f t="shared" si="0"/>
        <v>Sophia Delgado 12/26/2025</v>
      </c>
      <c r="B93" s="11" t="s">
        <v>58</v>
      </c>
      <c r="C93" s="4" t="s">
        <v>36</v>
      </c>
      <c r="D93" s="7">
        <f>VLOOKUP(A93, main!$A:$D, 4, FALSE)</f>
        <v>0.45000000000000001</v>
      </c>
      <c r="E93" s="5">
        <v>0.79583333333333328</v>
      </c>
    </row>
    <row r="94" ht="15.75" customHeight="1">
      <c r="A94" s="3" t="str">
        <f t="shared" si="0"/>
        <v>Adrian Velasco 12/26/2025</v>
      </c>
      <c r="B94" s="11" t="s">
        <v>58</v>
      </c>
      <c r="C94" s="4" t="s">
        <v>28</v>
      </c>
      <c r="D94" s="7">
        <f>VLOOKUP(A94, main!$A:$D, 4, FALSE)</f>
        <v>0.41249999999999998</v>
      </c>
      <c r="E94" s="5">
        <v>0.91666666666666663</v>
      </c>
    </row>
    <row r="95" ht="15.75" customHeight="1">
      <c r="A95" s="3" t="str">
        <f t="shared" si="0"/>
        <v>Gabrielle Santos 12/26/2025</v>
      </c>
      <c r="B95" s="11" t="s">
        <v>58</v>
      </c>
      <c r="C95" s="4" t="s">
        <v>24</v>
      </c>
      <c r="D95" s="7">
        <f>VLOOKUP(A95, main!$A:$D, 4, FALSE)</f>
        <v>0.40277777777777779</v>
      </c>
      <c r="E95" s="5">
        <v>0.91736111111111107</v>
      </c>
    </row>
    <row r="96" ht="15.75" customHeight="1">
      <c r="A96" s="3" t="str">
        <f t="shared" si="0"/>
        <v>Miguel Santoro 12/27/2025</v>
      </c>
      <c r="B96" s="11" t="s">
        <v>59</v>
      </c>
      <c r="C96" s="4" t="s">
        <v>32</v>
      </c>
      <c r="D96" s="7">
        <f>VLOOKUP(A96, main!$A:$D, 4, FALSE)</f>
        <v>0.41597222222222224</v>
      </c>
      <c r="E96" s="5">
        <v>0.79305555555555551</v>
      </c>
    </row>
    <row r="97" ht="15.75" customHeight="1">
      <c r="A97" s="3" t="str">
        <f t="shared" si="0"/>
        <v>Javier Morales 12/27/2025</v>
      </c>
      <c r="B97" s="11" t="s">
        <v>59</v>
      </c>
      <c r="C97" s="4" t="s">
        <v>22</v>
      </c>
      <c r="D97" s="7">
        <f>VLOOKUP(A97, main!$A:$D, 4, FALSE)</f>
        <v>0.38611111111111113</v>
      </c>
      <c r="E97" s="5">
        <v>0.79374999999999996</v>
      </c>
    </row>
    <row r="98" ht="15.75" customHeight="1">
      <c r="A98" s="3" t="str">
        <f t="shared" si="0"/>
        <v>Adrian Velasco 12/27/2025</v>
      </c>
      <c r="B98" s="11" t="s">
        <v>59</v>
      </c>
      <c r="C98" s="4" t="s">
        <v>28</v>
      </c>
      <c r="D98" s="7">
        <f>VLOOKUP(A98, main!$A:$D, 4, FALSE)</f>
        <v>0.41180555555555554</v>
      </c>
      <c r="E98" s="5">
        <v>0.91666666666666663</v>
      </c>
    </row>
    <row r="99" ht="15.75" customHeight="1">
      <c r="A99" s="3" t="str">
        <f t="shared" si="0"/>
        <v>Gabrielle Santos 12/27/2025</v>
      </c>
      <c r="B99" s="11" t="s">
        <v>59</v>
      </c>
      <c r="C99" s="4" t="s">
        <v>24</v>
      </c>
      <c r="D99" s="7">
        <f>VLOOKUP(A99, main!$A:$D, 4, FALSE)</f>
        <v>0.41249999999999998</v>
      </c>
      <c r="E99" s="5">
        <v>0.91736111111111107</v>
      </c>
    </row>
    <row r="100" ht="15.75" customHeight="1">
      <c r="A100" s="3" t="str">
        <f t="shared" si="0"/>
        <v>Miguel Santoro 12/28/2025</v>
      </c>
      <c r="B100" s="11" t="s">
        <v>60</v>
      </c>
      <c r="C100" s="4" t="s">
        <v>32</v>
      </c>
      <c r="D100" s="7">
        <f>VLOOKUP(A100, main!$A:$D, 4, FALSE)</f>
        <v>0.41666666666666669</v>
      </c>
      <c r="E100" s="5">
        <v>0.78819444444444442</v>
      </c>
    </row>
    <row r="101" ht="15.75" customHeight="1">
      <c r="A101" s="3" t="str">
        <f t="shared" si="0"/>
        <v>Javier Morales 12/28/2025</v>
      </c>
      <c r="B101" s="11" t="s">
        <v>60</v>
      </c>
      <c r="C101" s="4" t="s">
        <v>22</v>
      </c>
      <c r="D101" s="7">
        <f>VLOOKUP(A101, main!$A:$D, 4, FALSE)</f>
        <v>0.37847222222222221</v>
      </c>
      <c r="E101" s="5">
        <v>0.79166666666666663</v>
      </c>
    </row>
    <row r="102" ht="15.75" customHeight="1">
      <c r="A102" s="3" t="str">
        <f t="shared" si="0"/>
        <v>Adrian Velasco 12/28/2025</v>
      </c>
      <c r="B102" s="11" t="s">
        <v>60</v>
      </c>
      <c r="C102" s="4" t="s">
        <v>28</v>
      </c>
      <c r="D102" s="7">
        <f>VLOOKUP(A102, main!$A:$D, 4, FALSE)</f>
        <v>0.41458333333333336</v>
      </c>
      <c r="E102" s="5">
        <v>0.91805555555555551</v>
      </c>
    </row>
    <row r="103" ht="15.75" customHeight="1">
      <c r="A103" s="3" t="str">
        <f t="shared" si="0"/>
        <v>Gabrielle Santos 12/28/2025</v>
      </c>
      <c r="B103" s="11" t="s">
        <v>60</v>
      </c>
      <c r="C103" s="4" t="s">
        <v>24</v>
      </c>
      <c r="D103" s="7">
        <f>VLOOKUP(A103, main!$A:$D, 4, FALSE)</f>
        <v>0.41249999999999998</v>
      </c>
      <c r="E103" s="5">
        <v>0.92013888888888884</v>
      </c>
    </row>
    <row r="104" ht="15.75" customHeight="1">
      <c r="A104" s="3" t="str">
        <f t="shared" si="0"/>
        <v>Miguel Santoro 12/29/2025</v>
      </c>
      <c r="B104" s="11" t="s">
        <v>61</v>
      </c>
      <c r="C104" s="4" t="s">
        <v>32</v>
      </c>
      <c r="D104" s="7">
        <f>VLOOKUP(A104, main!$A:$D, 4, FALSE)</f>
        <v>0.41944444444444445</v>
      </c>
      <c r="E104" s="5">
        <v>0.7993055555555556</v>
      </c>
    </row>
    <row r="105" ht="15.75" customHeight="1">
      <c r="A105" s="3" t="str">
        <f t="shared" si="0"/>
        <v>Javier Morales 12/29/2025</v>
      </c>
      <c r="B105" s="11" t="s">
        <v>61</v>
      </c>
      <c r="C105" s="4" t="s">
        <v>22</v>
      </c>
      <c r="D105" s="7">
        <f>VLOOKUP(A105, main!$A:$D, 4, FALSE)</f>
        <v>0.39097222222222222</v>
      </c>
      <c r="E105" s="5">
        <v>0.80000000000000004</v>
      </c>
    </row>
    <row r="106" ht="15.75" customHeight="1">
      <c r="A106" s="3" t="str">
        <f t="shared" si="0"/>
        <v>Sophia Delgado 12/29/2025</v>
      </c>
      <c r="B106" s="11" t="s">
        <v>61</v>
      </c>
      <c r="C106" s="4" t="s">
        <v>36</v>
      </c>
      <c r="D106" s="7">
        <f>VLOOKUP(A106, main!$A:$D, 4, FALSE)</f>
        <v>0.46666666666666667</v>
      </c>
      <c r="E106" s="5">
        <v>0.80625000000000002</v>
      </c>
    </row>
    <row r="107" ht="15.75" customHeight="1">
      <c r="A107" s="3" t="str">
        <f t="shared" si="0"/>
        <v>Gabrielle Santos 12/29/2025</v>
      </c>
      <c r="B107" s="11" t="s">
        <v>61</v>
      </c>
      <c r="C107" s="4" t="s">
        <v>24</v>
      </c>
      <c r="D107" s="7">
        <f>VLOOKUP(A107, main!$A:$D, 4, FALSE)</f>
        <v>0.41180555555555554</v>
      </c>
      <c r="E107" s="5">
        <v>0.91805555555555551</v>
      </c>
    </row>
    <row r="108" ht="15.75" customHeight="1">
      <c r="A108" s="3" t="str">
        <f t="shared" si="0"/>
        <v>Adrian Velasco 12/29/2025</v>
      </c>
      <c r="B108" s="11" t="s">
        <v>61</v>
      </c>
      <c r="C108" s="4" t="s">
        <v>28</v>
      </c>
      <c r="D108" s="7">
        <f>VLOOKUP(A108, main!$A:$D, 4, FALSE)</f>
        <v>0.41249999999999998</v>
      </c>
      <c r="E108" s="5">
        <v>0.9194444444444444</v>
      </c>
    </row>
    <row r="109" ht="15.75" customHeight="1">
      <c r="A109" s="3" t="str">
        <f t="shared" si="0"/>
        <v>Gabrielle Santos 12/30/2025</v>
      </c>
      <c r="B109" s="11" t="s">
        <v>62</v>
      </c>
      <c r="C109" s="4" t="s">
        <v>24</v>
      </c>
      <c r="D109" s="7">
        <f>VLOOKUP(A109, main!$A:$D, 4, FALSE)</f>
        <v>0.41319444444444442</v>
      </c>
      <c r="E109" s="5">
        <v>0.91666666666666663</v>
      </c>
    </row>
    <row r="110" ht="15.75" customHeight="1">
      <c r="A110" s="3" t="str">
        <f t="shared" si="0"/>
        <v>Adrian Velasco 12/30/2025</v>
      </c>
      <c r="B110" s="11" t="s">
        <v>62</v>
      </c>
      <c r="C110" s="4" t="s">
        <v>28</v>
      </c>
      <c r="D110" s="7">
        <f>VLOOKUP(A110, main!$A:$D, 4, FALSE)</f>
        <v>0.40972222222222221</v>
      </c>
      <c r="E110" s="5">
        <v>0.91736111111111107</v>
      </c>
    </row>
    <row r="111" ht="15.75" customHeight="1">
      <c r="A111" s="3" t="str">
        <f t="shared" si="0"/>
        <v>Gabrielle Santos 12/31/2025</v>
      </c>
      <c r="B111" s="11" t="s">
        <v>63</v>
      </c>
      <c r="C111" s="4" t="s">
        <v>24</v>
      </c>
      <c r="D111" s="7">
        <f>VLOOKUP(A111, main!$A:$D, 4, FALSE)</f>
        <v>0.36666666666666664</v>
      </c>
      <c r="E111" s="5">
        <v>0.79166666666666663</v>
      </c>
    </row>
    <row r="112" ht="15.75" customHeight="1">
      <c r="A112" s="3" t="str">
        <f t="shared" si="0"/>
        <v>Gabrielle Santos 12/31/2025</v>
      </c>
      <c r="B112" s="11" t="s">
        <v>63</v>
      </c>
      <c r="C112" s="4" t="s">
        <v>24</v>
      </c>
      <c r="D112" s="7">
        <f>VLOOKUP(A112, main!$A:$D, 4, FALSE)</f>
        <v>0.36666666666666664</v>
      </c>
      <c r="E112" s="5">
        <v>0.79166666666666663</v>
      </c>
    </row>
    <row r="113" ht="15.75" customHeight="1">
      <c r="A113" s="3" t="str">
        <f t="shared" si="0"/>
        <v>Javier Morales 12/31/2025</v>
      </c>
      <c r="B113" s="11" t="s">
        <v>63</v>
      </c>
      <c r="C113" s="4" t="s">
        <v>22</v>
      </c>
      <c r="D113" s="7">
        <f>VLOOKUP(A113, main!$A:$D, 4, FALSE)</f>
        <v>0.35416666666666669</v>
      </c>
      <c r="E113" s="5">
        <v>0.79236111111111107</v>
      </c>
    </row>
    <row r="114" ht="15.75" customHeight="1">
      <c r="A114" s="3" t="str">
        <f t="shared" si="0"/>
        <v>Adrian Velasco 1/1/2026</v>
      </c>
      <c r="B114" s="11" t="s">
        <v>64</v>
      </c>
      <c r="C114" s="4" t="s">
        <v>28</v>
      </c>
      <c r="D114" s="7">
        <f>VLOOKUP(A114, main!$A:$D, 4, FALSE)</f>
        <v>0.49722222222222223</v>
      </c>
      <c r="E114" s="5">
        <v>0.91388888888888886</v>
      </c>
    </row>
    <row r="115" ht="15.75" customHeight="1">
      <c r="A115" s="3" t="str">
        <f t="shared" si="0"/>
        <v>Sophia Delgado 1/2/2026</v>
      </c>
      <c r="B115" s="11" t="s">
        <v>65</v>
      </c>
      <c r="C115" s="4" t="s">
        <v>36</v>
      </c>
      <c r="D115" s="7">
        <f>VLOOKUP(A115, main!$A:$D, 4, FALSE)</f>
        <v>0.43194444444444446</v>
      </c>
      <c r="E115" s="5">
        <v>0.64861111111111114</v>
      </c>
    </row>
    <row r="116" ht="15.75" customHeight="1">
      <c r="A116" s="3" t="str">
        <f t="shared" si="0"/>
        <v>Camila Torres 1/2/2026</v>
      </c>
      <c r="B116" s="11" t="s">
        <v>65</v>
      </c>
      <c r="C116" s="4" t="s">
        <v>39</v>
      </c>
      <c r="D116" s="7">
        <f>VLOOKUP(A116, main!$A:$D, 4, FALSE)</f>
        <v>0.41597222222222224</v>
      </c>
      <c r="E116" s="5">
        <v>0.79374999999999996</v>
      </c>
    </row>
    <row r="117" ht="15.75" customHeight="1">
      <c r="A117" s="3" t="str">
        <f t="shared" si="0"/>
        <v>Javier Morales 1/2/2026</v>
      </c>
      <c r="B117" s="11" t="s">
        <v>65</v>
      </c>
      <c r="C117" s="4" t="s">
        <v>22</v>
      </c>
      <c r="D117" s="7">
        <f>VLOOKUP(A117, main!$A:$D, 4, FALSE)</f>
        <v>0.375</v>
      </c>
      <c r="E117" s="5">
        <v>0.7944444444444444</v>
      </c>
    </row>
    <row r="118" ht="15.75" customHeight="1">
      <c r="A118" s="3" t="str">
        <f t="shared" si="0"/>
        <v>Miguel Santoro 1/2/2026</v>
      </c>
      <c r="B118" s="11" t="s">
        <v>65</v>
      </c>
      <c r="C118" s="4" t="s">
        <v>32</v>
      </c>
      <c r="D118" s="7">
        <f>VLOOKUP(A118, main!$A:$D, 4, FALSE)</f>
        <v>0.40486111111111112</v>
      </c>
      <c r="E118" s="5">
        <v>0.7944444444444444</v>
      </c>
    </row>
    <row r="119" ht="15.75" customHeight="1">
      <c r="A119" s="3" t="str">
        <f t="shared" si="0"/>
        <v>Lorenzo Castillo 1/2/2026</v>
      </c>
      <c r="B119" s="11" t="s">
        <v>65</v>
      </c>
      <c r="C119" s="4" t="s">
        <v>15</v>
      </c>
      <c r="D119" s="7">
        <f>VLOOKUP(A119, main!$A:$D, 4, FALSE)</f>
        <v>0.4152777777777778</v>
      </c>
      <c r="E119" s="5">
        <v>0.79513888888888884</v>
      </c>
    </row>
    <row r="120" ht="15.75" customHeight="1">
      <c r="A120" s="3" t="str">
        <f t="shared" si="0"/>
        <v>Gabrielle Santos 1/2/2026</v>
      </c>
      <c r="B120" s="11" t="s">
        <v>65</v>
      </c>
      <c r="C120" s="4" t="s">
        <v>24</v>
      </c>
      <c r="D120" s="7">
        <f>VLOOKUP(A120, main!$A:$D, 4, FALSE)</f>
        <v>0.41388888888888886</v>
      </c>
      <c r="E120" s="5">
        <v>0.87777777777777777</v>
      </c>
    </row>
    <row r="121" ht="15.75" customHeight="1">
      <c r="A121" s="3" t="str">
        <f t="shared" si="0"/>
        <v>Adrian Velasco 1/2/2026</v>
      </c>
      <c r="B121" s="11" t="s">
        <v>65</v>
      </c>
      <c r="C121" s="4" t="s">
        <v>28</v>
      </c>
      <c r="D121" s="7">
        <f>VLOOKUP(A121, main!$A:$D, 4, FALSE)</f>
        <v>0.41458333333333336</v>
      </c>
      <c r="E121" s="5">
        <v>0.91874999999999996</v>
      </c>
    </row>
    <row r="122" ht="15.75" customHeight="1">
      <c r="A122" s="3" t="str">
        <f t="shared" si="0"/>
        <v>Javier Morales 1/3/2026</v>
      </c>
      <c r="B122" s="11" t="s">
        <v>66</v>
      </c>
      <c r="C122" s="4" t="s">
        <v>22</v>
      </c>
      <c r="D122" s="7">
        <f>VLOOKUP(A122, main!$A:$D, 4, FALSE)</f>
        <v>0.39027777777777778</v>
      </c>
      <c r="E122" s="5">
        <v>0.79236111111111107</v>
      </c>
    </row>
    <row r="123" ht="15.75" customHeight="1">
      <c r="A123" s="3" t="str">
        <f t="shared" si="0"/>
        <v>Miguel Santoro 1/3/2026</v>
      </c>
      <c r="B123" s="11" t="s">
        <v>66</v>
      </c>
      <c r="C123" s="4" t="s">
        <v>32</v>
      </c>
      <c r="D123" s="7">
        <f>VLOOKUP(A123, main!$A:$D, 4, FALSE)</f>
        <v>0.41805555555555557</v>
      </c>
      <c r="E123" s="5">
        <v>0.79236111111111107</v>
      </c>
    </row>
    <row r="124" ht="15.75" customHeight="1">
      <c r="A124" s="3" t="str">
        <f t="shared" si="0"/>
        <v>Lorenzo Castillo 1/3/2026</v>
      </c>
      <c r="B124" s="11" t="s">
        <v>66</v>
      </c>
      <c r="C124" s="4" t="s">
        <v>15</v>
      </c>
      <c r="D124" s="7">
        <f>VLOOKUP(A124, main!$A:$D, 4, FALSE)</f>
        <v>0.39583333333333331</v>
      </c>
      <c r="E124" s="5">
        <v>0.79305555555555551</v>
      </c>
    </row>
    <row r="125" ht="15.75" customHeight="1">
      <c r="A125" s="3" t="str">
        <f t="shared" si="0"/>
        <v>Gabrielle Santos 1/3/2026</v>
      </c>
      <c r="B125" s="11" t="s">
        <v>66</v>
      </c>
      <c r="C125" s="4" t="s">
        <v>24</v>
      </c>
      <c r="D125" s="7">
        <f>VLOOKUP(A125, main!$A:$D, 4, FALSE)</f>
        <v>0.40763888888888888</v>
      </c>
      <c r="E125" s="5">
        <v>0.87986111111111109</v>
      </c>
    </row>
    <row r="126" ht="15.75" customHeight="1">
      <c r="A126" s="3" t="str">
        <f t="shared" si="0"/>
        <v>Adrian Velasco 1/3/2026</v>
      </c>
      <c r="B126" s="11" t="s">
        <v>66</v>
      </c>
      <c r="C126" s="4" t="s">
        <v>28</v>
      </c>
      <c r="D126" s="7">
        <f>VLOOKUP(A126, main!$A:$D, 4, FALSE)</f>
        <v>0.41319444444444442</v>
      </c>
      <c r="E126" s="5">
        <v>0.91527777777777775</v>
      </c>
    </row>
    <row r="127" ht="15.75" customHeight="1">
      <c r="A127" s="3" t="str">
        <f t="shared" si="0"/>
        <v>Sophia Delgado 1/3/2026</v>
      </c>
      <c r="B127" s="11" t="s">
        <v>66</v>
      </c>
      <c r="C127" s="4" t="s">
        <v>36</v>
      </c>
      <c r="D127" s="7">
        <f>VLOOKUP(A127, main!$A:$D, 4, FALSE)</f>
        <v>0.44791666666666669</v>
      </c>
      <c r="E127" s="5">
        <v>0.9375</v>
      </c>
    </row>
    <row r="128" ht="15.75" customHeight="1">
      <c r="A128" s="3" t="str">
        <f t="shared" si="0"/>
        <v>Miguel Santoro 1/4/2026</v>
      </c>
      <c r="B128" s="11" t="s">
        <v>67</v>
      </c>
      <c r="C128" s="4" t="s">
        <v>32</v>
      </c>
      <c r="D128" s="7">
        <f>VLOOKUP(A128, main!$A:$D, 4, FALSE)</f>
        <v>0.41736111111111113</v>
      </c>
      <c r="E128" s="5">
        <v>0.79305555555555551</v>
      </c>
    </row>
    <row r="129" ht="15.75" customHeight="1">
      <c r="A129" s="3" t="str">
        <f t="shared" si="0"/>
        <v>Lorenzo Castillo 1/4/2026</v>
      </c>
      <c r="B129" s="11" t="s">
        <v>67</v>
      </c>
      <c r="C129" s="4" t="s">
        <v>15</v>
      </c>
      <c r="D129" s="7">
        <f>VLOOKUP(A129, main!$A:$D, 4, FALSE)</f>
        <v>0.38055555555555554</v>
      </c>
      <c r="E129" s="5">
        <v>0.79305555555555551</v>
      </c>
    </row>
    <row r="130" ht="15.75" customHeight="1">
      <c r="A130" s="3" t="str">
        <f t="shared" si="0"/>
        <v>Javier Morales 1/4/2026</v>
      </c>
      <c r="B130" s="11" t="s">
        <v>67</v>
      </c>
      <c r="C130" s="4" t="s">
        <v>22</v>
      </c>
      <c r="D130" s="7">
        <f>VLOOKUP(A130, main!$A:$D, 4, FALSE)</f>
        <v>0.375</v>
      </c>
      <c r="E130" s="5">
        <v>0.79374999999999996</v>
      </c>
    </row>
    <row r="131" ht="15.75" customHeight="1">
      <c r="A131" s="3" t="str">
        <f t="shared" si="0"/>
        <v>Gabrielle Santos 1/4/2026</v>
      </c>
      <c r="B131" s="11" t="s">
        <v>67</v>
      </c>
      <c r="C131" s="4" t="s">
        <v>24</v>
      </c>
      <c r="D131" s="7">
        <f>VLOOKUP(A131, main!$A:$D, 4, FALSE)</f>
        <v>0.40763888888888888</v>
      </c>
      <c r="E131" s="5">
        <v>0.87916666666666665</v>
      </c>
    </row>
    <row r="132" ht="15.75" customHeight="1">
      <c r="A132" s="3" t="str">
        <f t="shared" si="0"/>
        <v>Adrian Velasco 1/4/2026</v>
      </c>
      <c r="B132" s="11" t="s">
        <v>67</v>
      </c>
      <c r="C132" s="4" t="s">
        <v>28</v>
      </c>
      <c r="D132" s="7">
        <f>VLOOKUP(A132, main!$A:$D, 4, FALSE)</f>
        <v>0.41111111111111109</v>
      </c>
      <c r="E132" s="5">
        <v>0.9145833333333333</v>
      </c>
    </row>
    <row r="133" ht="15.75" customHeight="1">
      <c r="A133" s="3" t="str">
        <f t="shared" si="0"/>
        <v>Javier Morales 1/5/2026</v>
      </c>
      <c r="B133" s="11" t="s">
        <v>68</v>
      </c>
      <c r="C133" s="4" t="s">
        <v>22</v>
      </c>
      <c r="D133" s="7">
        <f>VLOOKUP(A133, main!$A:$D, 4, FALSE)</f>
        <v>0.38611111111111113</v>
      </c>
      <c r="E133" s="5">
        <v>0.79374999999999996</v>
      </c>
    </row>
    <row r="134" ht="15.75" customHeight="1">
      <c r="A134" s="3" t="str">
        <f t="shared" si="0"/>
        <v>Miguel Santoro 1/5/2026</v>
      </c>
      <c r="B134" s="11" t="s">
        <v>68</v>
      </c>
      <c r="C134" s="4" t="s">
        <v>32</v>
      </c>
      <c r="D134" s="7">
        <f>VLOOKUP(A134, main!$A:$D, 4, FALSE)</f>
        <v>0.42152777777777778</v>
      </c>
      <c r="E134" s="5">
        <v>0.79374999999999996</v>
      </c>
    </row>
    <row r="135" ht="15.75" customHeight="1">
      <c r="A135" s="3" t="str">
        <f t="shared" si="0"/>
        <v>Daniel Alvarez 1/5/2026</v>
      </c>
      <c r="B135" s="11" t="s">
        <v>68</v>
      </c>
      <c r="C135" s="4" t="s">
        <v>34</v>
      </c>
      <c r="D135" s="7">
        <f>VLOOKUP(A135, main!$A:$D, 4, FALSE)</f>
        <v>0.41111111111111109</v>
      </c>
      <c r="E135" s="5">
        <v>0.7944444444444444</v>
      </c>
    </row>
    <row r="136" ht="15.75" customHeight="1">
      <c r="A136" s="3" t="str">
        <f t="shared" si="0"/>
        <v>Lorenzo Castillo 1/5/2026</v>
      </c>
      <c r="B136" s="11" t="s">
        <v>68</v>
      </c>
      <c r="C136" s="4" t="s">
        <v>15</v>
      </c>
      <c r="D136" s="7">
        <f>VLOOKUP(A136, main!$A:$D, 4, FALSE)</f>
        <v>0.39444444444444443</v>
      </c>
      <c r="E136" s="5">
        <v>0.7944444444444444</v>
      </c>
    </row>
    <row r="137" ht="15.75" customHeight="1">
      <c r="A137" s="3" t="str">
        <f t="shared" si="0"/>
        <v>Sophia Delgado 1/5/2026</v>
      </c>
      <c r="B137" s="11" t="s">
        <v>68</v>
      </c>
      <c r="C137" s="4" t="s">
        <v>36</v>
      </c>
      <c r="D137" s="7">
        <f>VLOOKUP(A137, main!$A:$D, 4, FALSE)</f>
        <v>0.57708333333333328</v>
      </c>
      <c r="E137" s="5">
        <v>0.79513888888888884</v>
      </c>
    </row>
    <row r="138" ht="15.75" customHeight="1">
      <c r="A138" s="3" t="str">
        <f t="shared" si="0"/>
        <v>Adrian Velasco 1/5/2026</v>
      </c>
      <c r="B138" s="11" t="s">
        <v>68</v>
      </c>
      <c r="C138" s="4" t="s">
        <v>28</v>
      </c>
      <c r="D138" s="7">
        <f>VLOOKUP(A138, main!$A:$D, 4, FALSE)</f>
        <v>0.41388888888888886</v>
      </c>
      <c r="E138" s="5">
        <v>0.87361111111111112</v>
      </c>
    </row>
    <row r="139" ht="15.75" customHeight="1">
      <c r="A139" s="3" t="str">
        <f t="shared" si="0"/>
        <v>Gabrielle Santos 1/5/2026</v>
      </c>
      <c r="B139" s="11" t="s">
        <v>68</v>
      </c>
      <c r="C139" s="4" t="s">
        <v>24</v>
      </c>
      <c r="D139" s="7">
        <f>VLOOKUP(A139, main!$A:$D, 4, FALSE)</f>
        <v>0.40902777777777777</v>
      </c>
      <c r="E139" s="5">
        <v>0.87708333333333333</v>
      </c>
    </row>
    <row r="140" ht="15.75" customHeight="1">
      <c r="A140" s="3" t="str">
        <f t="shared" si="0"/>
        <v>Lorenzo Castillo 1/6/2026</v>
      </c>
      <c r="B140" s="11" t="s">
        <v>69</v>
      </c>
      <c r="C140" s="4" t="s">
        <v>15</v>
      </c>
      <c r="D140" s="7">
        <f>VLOOKUP(A140, main!$A:$D, 4, FALSE)</f>
        <v>0.3923611111111111</v>
      </c>
      <c r="E140" s="5">
        <v>0.80000000000000004</v>
      </c>
    </row>
    <row r="141" ht="15.75" customHeight="1">
      <c r="A141" s="3" t="str">
        <f t="shared" si="0"/>
        <v>Daniel Alvarez 1/6/2026</v>
      </c>
      <c r="B141" s="11" t="s">
        <v>69</v>
      </c>
      <c r="C141" s="4" t="s">
        <v>34</v>
      </c>
      <c r="D141" s="7">
        <f>VLOOKUP(A141, main!$A:$D, 4, FALSE)</f>
        <v>0.41319444444444442</v>
      </c>
      <c r="E141" s="5">
        <v>0.80069444444444449</v>
      </c>
    </row>
    <row r="142" ht="15.75" customHeight="1">
      <c r="A142" s="3" t="str">
        <f t="shared" si="0"/>
        <v>Sophia Delgado 1/6/2026</v>
      </c>
      <c r="B142" s="11" t="s">
        <v>69</v>
      </c>
      <c r="C142" s="4" t="s">
        <v>36</v>
      </c>
      <c r="D142" s="7">
        <f>VLOOKUP(A142, main!$A:$D, 4, FALSE)</f>
        <v>0.46041666666666664</v>
      </c>
      <c r="E142" s="5">
        <v>0.80069444444444449</v>
      </c>
    </row>
    <row r="143" ht="15.75" customHeight="1">
      <c r="A143" s="3" t="str">
        <f t="shared" si="0"/>
        <v>Javier Morales 1/6/2026</v>
      </c>
      <c r="B143" s="11" t="s">
        <v>69</v>
      </c>
      <c r="C143" s="4" t="s">
        <v>22</v>
      </c>
      <c r="D143" s="7">
        <f>VLOOKUP(A143, main!$A:$D, 4, FALSE)</f>
        <v>0.3888888888888889</v>
      </c>
      <c r="E143" s="5">
        <v>0.87638888888888888</v>
      </c>
    </row>
    <row r="144" ht="15.75" customHeight="1">
      <c r="A144" s="3" t="str">
        <f t="shared" si="0"/>
        <v>Gabrielle Santos 1/6/2026</v>
      </c>
      <c r="B144" s="11" t="s">
        <v>69</v>
      </c>
      <c r="C144" s="4" t="s">
        <v>24</v>
      </c>
      <c r="D144" s="7">
        <f>VLOOKUP(A144, main!$A:$D, 4, FALSE)</f>
        <v>0.40138888888888891</v>
      </c>
      <c r="E144" s="5">
        <v>0.88541666666666663</v>
      </c>
    </row>
    <row r="145" ht="15.75" customHeight="1">
      <c r="A145" s="3" t="str">
        <f t="shared" si="0"/>
        <v>Gabrielle Santos 1/6/2026</v>
      </c>
      <c r="B145" s="11" t="s">
        <v>69</v>
      </c>
      <c r="C145" s="4" t="s">
        <v>24</v>
      </c>
      <c r="D145" s="7">
        <f>VLOOKUP(A145, main!$A:$D, 4, FALSE)</f>
        <v>0.40138888888888891</v>
      </c>
      <c r="E145" s="5">
        <v>0.88541666666666663</v>
      </c>
    </row>
    <row r="146" ht="15.75" customHeight="1">
      <c r="A146" s="3" t="str">
        <f t="shared" si="0"/>
        <v>Miguel Santoro 1/7/2026</v>
      </c>
      <c r="B146" s="11" t="s">
        <v>70</v>
      </c>
      <c r="C146" s="4" t="s">
        <v>32</v>
      </c>
      <c r="D146" s="7">
        <f>VLOOKUP(A146, main!$A:$D, 4, FALSE)</f>
        <v>0.49930555555555556</v>
      </c>
      <c r="E146" s="5">
        <v>0.79652777777777772</v>
      </c>
    </row>
    <row r="147" ht="15.75" customHeight="1">
      <c r="A147" s="3" t="str">
        <f t="shared" si="0"/>
        <v>Sophia Delgado 1/7/2026</v>
      </c>
      <c r="B147" s="11" t="s">
        <v>70</v>
      </c>
      <c r="C147" s="4" t="s">
        <v>36</v>
      </c>
      <c r="D147" s="7">
        <f>VLOOKUP(A147, main!$A:$D, 4, FALSE)</f>
        <v>0.46319444444444446</v>
      </c>
      <c r="E147" s="5">
        <v>0.80694444444444446</v>
      </c>
    </row>
    <row r="148" ht="15.75" customHeight="1">
      <c r="A148" s="3" t="str">
        <f t="shared" si="0"/>
        <v>Javier Morales 1/7/2026</v>
      </c>
      <c r="B148" s="11" t="s">
        <v>70</v>
      </c>
      <c r="C148" s="4" t="s">
        <v>22</v>
      </c>
      <c r="D148" s="7">
        <f>VLOOKUP(A148, main!$A:$D, 4, FALSE)</f>
        <v>0.36736111111111114</v>
      </c>
      <c r="E148" s="5">
        <v>0.85972222222222228</v>
      </c>
    </row>
    <row r="149" ht="15.75" customHeight="1">
      <c r="A149" s="3" t="str">
        <f t="shared" si="0"/>
        <v>Gabrielle Santos 1/7/2026</v>
      </c>
      <c r="B149" s="11" t="s">
        <v>70</v>
      </c>
      <c r="C149" s="4" t="s">
        <v>24</v>
      </c>
      <c r="D149" s="7">
        <f>VLOOKUP(A149, main!$A:$D, 4, FALSE)</f>
        <v>0.41041666666666665</v>
      </c>
      <c r="E149" s="5">
        <v>0.87430555555555556</v>
      </c>
    </row>
    <row r="150" ht="15.75" customHeight="1">
      <c r="A150" s="3" t="str">
        <f t="shared" si="0"/>
        <v>Daniel Alvarez 1/7/2026</v>
      </c>
      <c r="B150" s="11" t="s">
        <v>70</v>
      </c>
      <c r="C150" s="4" t="s">
        <v>34</v>
      </c>
      <c r="D150" s="7">
        <f>VLOOKUP(A150, main!$A:$D, 4, FALSE)</f>
        <v>0.42222222222222222</v>
      </c>
      <c r="E150" s="5">
        <v>0.87708333333333333</v>
      </c>
    </row>
    <row r="151" ht="15.75" customHeight="1">
      <c r="A151" s="3" t="str">
        <f t="shared" si="0"/>
        <v>Camila Torres 1/8/2026</v>
      </c>
      <c r="B151" s="11" t="s">
        <v>71</v>
      </c>
      <c r="C151" s="4" t="s">
        <v>39</v>
      </c>
      <c r="D151" s="7">
        <f>VLOOKUP(A151, main!$A:$D, 4, FALSE)</f>
        <v>0.42083333333333334</v>
      </c>
      <c r="E151" s="5">
        <v>0.79722222222222228</v>
      </c>
    </row>
    <row r="152" ht="15.75" customHeight="1">
      <c r="A152" s="3" t="str">
        <f t="shared" si="0"/>
        <v>Miguel Santoro 1/8/2026</v>
      </c>
      <c r="B152" s="11" t="s">
        <v>71</v>
      </c>
      <c r="C152" s="4" t="s">
        <v>32</v>
      </c>
      <c r="D152" s="7">
        <f>VLOOKUP(A152, main!$A:$D, 4, FALSE)</f>
        <v>0.45416666666666666</v>
      </c>
      <c r="E152" s="5">
        <v>0.80138888888888893</v>
      </c>
    </row>
    <row r="153" ht="15.75" customHeight="1">
      <c r="A153" s="3" t="str">
        <f t="shared" si="0"/>
        <v>Lorenzo Castillo 1/8/2026</v>
      </c>
      <c r="B153" s="11" t="s">
        <v>71</v>
      </c>
      <c r="C153" s="4" t="s">
        <v>15</v>
      </c>
      <c r="D153" s="7">
        <f>VLOOKUP(A153, main!$A:$D, 4, FALSE)</f>
        <v>0.3840277777777778</v>
      </c>
      <c r="E153" s="5">
        <v>0.84583333333333333</v>
      </c>
    </row>
    <row r="154" ht="15.75" customHeight="1">
      <c r="A154" s="3" t="str">
        <f t="shared" si="0"/>
        <v>Sophia Delgado 1/8/2026</v>
      </c>
      <c r="B154" s="11" t="s">
        <v>71</v>
      </c>
      <c r="C154" s="4" t="s">
        <v>36</v>
      </c>
      <c r="D154" s="7">
        <f>VLOOKUP(A154, main!$A:$D, 4, FALSE)</f>
        <v>0.45902777777777776</v>
      </c>
      <c r="E154" s="5">
        <v>0.84583333333333333</v>
      </c>
    </row>
    <row r="155" ht="15.75" customHeight="1">
      <c r="A155" s="3" t="str">
        <f t="shared" si="0"/>
        <v>Gabrielle Santos 1/8/2026</v>
      </c>
      <c r="B155" s="11" t="s">
        <v>71</v>
      </c>
      <c r="C155" s="4" t="s">
        <v>24</v>
      </c>
      <c r="D155" s="7">
        <f>VLOOKUP(A155, main!$A:$D, 4, FALSE)</f>
        <v>0.40625</v>
      </c>
      <c r="E155" s="5">
        <v>0.87569444444444444</v>
      </c>
    </row>
    <row r="156" ht="15.75" customHeight="1">
      <c r="A156" s="3" t="str">
        <f t="shared" si="0"/>
        <v>Adrian Velasco 1/8/2026</v>
      </c>
      <c r="B156" s="11" t="s">
        <v>71</v>
      </c>
      <c r="C156" s="4" t="s">
        <v>28</v>
      </c>
      <c r="D156" s="7">
        <f>VLOOKUP(A156, main!$A:$D, 4, FALSE)</f>
        <v>0.41597222222222224</v>
      </c>
      <c r="E156" s="5">
        <v>0.8833333333333333</v>
      </c>
    </row>
    <row r="157" ht="15.75" customHeight="1">
      <c r="A157" s="3" t="str">
        <f t="shared" si="0"/>
        <v>Camila Torres 1/9/2026</v>
      </c>
      <c r="B157" s="11" t="s">
        <v>72</v>
      </c>
      <c r="C157" s="4" t="s">
        <v>39</v>
      </c>
      <c r="D157" s="7">
        <f>VLOOKUP(A157, main!$A:$D, 4, FALSE)</f>
        <v>0.4201388888888889</v>
      </c>
      <c r="E157" s="5">
        <v>0.7944444444444444</v>
      </c>
    </row>
    <row r="158" ht="15.75" customHeight="1">
      <c r="A158" s="3" t="str">
        <f t="shared" si="0"/>
        <v>Miguel Santoro 1/9/2026</v>
      </c>
      <c r="B158" s="11" t="s">
        <v>72</v>
      </c>
      <c r="C158" s="4" t="s">
        <v>32</v>
      </c>
      <c r="D158" s="7">
        <f>VLOOKUP(A158, main!$A:$D, 4, FALSE)</f>
        <v>0.41944444444444445</v>
      </c>
      <c r="E158" s="5">
        <v>0.79513888888888884</v>
      </c>
    </row>
    <row r="159" ht="15.75" customHeight="1">
      <c r="A159" s="3" t="str">
        <f t="shared" si="0"/>
        <v>Javier Morales 1/9/2026</v>
      </c>
      <c r="B159" s="11" t="s">
        <v>72</v>
      </c>
      <c r="C159" s="4" t="s">
        <v>22</v>
      </c>
      <c r="D159" s="7">
        <f>VLOOKUP(A159, main!$A:$D, 4, FALSE)</f>
        <v>0.39513888888888887</v>
      </c>
      <c r="E159" s="5">
        <v>0.79583333333333328</v>
      </c>
    </row>
    <row r="160" ht="15.75" customHeight="1">
      <c r="A160" s="3" t="str">
        <f t="shared" si="0"/>
        <v>Lorenzo Castillo 1/9/2026</v>
      </c>
      <c r="B160" s="11" t="s">
        <v>72</v>
      </c>
      <c r="C160" s="4" t="s">
        <v>15</v>
      </c>
      <c r="D160" s="7">
        <f>VLOOKUP(A160, main!$A:$D, 4, FALSE)</f>
        <v>0.39166666666666666</v>
      </c>
      <c r="E160" s="5">
        <v>0.79652777777777772</v>
      </c>
    </row>
    <row r="161" ht="15.75" customHeight="1">
      <c r="A161" s="3" t="str">
        <f t="shared" si="0"/>
        <v>Daniel Alvarez 1/9/2026</v>
      </c>
      <c r="B161" s="11" t="s">
        <v>72</v>
      </c>
      <c r="C161" s="4" t="s">
        <v>34</v>
      </c>
      <c r="D161" s="7">
        <f>VLOOKUP(A161, main!$A:$D, 4, FALSE)</f>
        <v>0.4201388888888889</v>
      </c>
      <c r="E161" s="5">
        <v>0.79652777777777772</v>
      </c>
    </row>
    <row r="162" ht="15.75" customHeight="1">
      <c r="A162" s="3" t="str">
        <f t="shared" si="0"/>
        <v>Miguel Santoro 1/9/2026</v>
      </c>
      <c r="B162" s="11" t="s">
        <v>72</v>
      </c>
      <c r="C162" s="4" t="s">
        <v>32</v>
      </c>
      <c r="D162" s="7">
        <f>VLOOKUP(A162, main!$A:$D, 4, FALSE)</f>
        <v>0.41944444444444445</v>
      </c>
      <c r="E162" s="5">
        <v>0.79722222222222228</v>
      </c>
    </row>
    <row r="163" ht="15.75" customHeight="1">
      <c r="A163" s="3" t="str">
        <f t="shared" si="0"/>
        <v>Sophia Delgado 1/9/2026</v>
      </c>
      <c r="B163" s="11" t="s">
        <v>72</v>
      </c>
      <c r="C163" s="4" t="s">
        <v>36</v>
      </c>
      <c r="D163" s="7">
        <f>VLOOKUP(A163, main!$A:$D, 4, FALSE)</f>
        <v>0.40625</v>
      </c>
      <c r="E163" s="5">
        <v>0.875</v>
      </c>
    </row>
    <row r="164" ht="15.75" customHeight="1">
      <c r="A164" s="3" t="str">
        <f t="shared" si="0"/>
        <v>Adrian Velasco 1/9/2026</v>
      </c>
      <c r="B164" s="11" t="s">
        <v>72</v>
      </c>
      <c r="C164" s="4" t="s">
        <v>28</v>
      </c>
      <c r="D164" s="7">
        <f>VLOOKUP(A164, main!$A:$D, 4, FALSE)</f>
        <v>0.41458333333333336</v>
      </c>
      <c r="E164" s="5">
        <v>0.91527777777777775</v>
      </c>
    </row>
    <row r="165" ht="15.75" customHeight="1">
      <c r="A165" s="3" t="str">
        <f t="shared" si="0"/>
        <v>Sophia Delgado 1/10/2026</v>
      </c>
      <c r="B165" s="11" t="s">
        <v>73</v>
      </c>
      <c r="C165" s="4" t="s">
        <v>36</v>
      </c>
      <c r="D165" s="7">
        <f>VLOOKUP(A165, main!$A:$D, 4, FALSE)</f>
        <v>0.46736111111111112</v>
      </c>
      <c r="E165" s="5">
        <v>0.73888888888888893</v>
      </c>
    </row>
    <row r="166" ht="15.75" customHeight="1">
      <c r="A166" s="3" t="str">
        <f t="shared" si="0"/>
        <v>Lorenzo Castillo 1/10/2026</v>
      </c>
      <c r="B166" s="11" t="s">
        <v>73</v>
      </c>
      <c r="C166" s="4" t="s">
        <v>15</v>
      </c>
      <c r="D166" s="7">
        <f>VLOOKUP(A166, main!$A:$D, 4, FALSE)</f>
        <v>0.40208333333333335</v>
      </c>
      <c r="E166" s="5">
        <v>0.79374999999999996</v>
      </c>
    </row>
    <row r="167" ht="15.75" customHeight="1">
      <c r="A167" s="3" t="str">
        <f t="shared" si="0"/>
        <v>Miguel Santoro 1/10/2026</v>
      </c>
      <c r="B167" s="11" t="s">
        <v>73</v>
      </c>
      <c r="C167" s="4" t="s">
        <v>32</v>
      </c>
      <c r="D167" s="7">
        <f>VLOOKUP(A167, main!$A:$D, 4, FALSE)</f>
        <v>0.43680555555555556</v>
      </c>
      <c r="E167" s="5">
        <v>0.79374999999999996</v>
      </c>
    </row>
    <row r="168" ht="15.75" customHeight="1">
      <c r="A168" s="3" t="str">
        <f t="shared" si="0"/>
        <v>Javier Morales 1/10/2026</v>
      </c>
      <c r="B168" s="11" t="s">
        <v>73</v>
      </c>
      <c r="C168" s="4" t="s">
        <v>22</v>
      </c>
      <c r="D168" s="7">
        <f>VLOOKUP(A168, main!$A:$D, 4, FALSE)</f>
        <v>0.38541666666666669</v>
      </c>
      <c r="E168" s="5">
        <v>0.7944444444444444</v>
      </c>
    </row>
    <row r="169" ht="15.75" customHeight="1">
      <c r="A169" s="3" t="str">
        <f t="shared" si="0"/>
        <v>Gabrielle Santos 1/10/2026</v>
      </c>
      <c r="B169" s="11" t="s">
        <v>73</v>
      </c>
      <c r="C169" s="4" t="s">
        <v>24</v>
      </c>
      <c r="D169" s="7">
        <f>VLOOKUP(A169, main!$A:$D, 4, FALSE)</f>
        <v>0.40902777777777777</v>
      </c>
      <c r="E169" s="5">
        <v>0.87847222222222221</v>
      </c>
    </row>
    <row r="170" ht="15.75" customHeight="1">
      <c r="A170" s="3" t="str">
        <f t="shared" si="0"/>
        <v>Adrian Velasco 1/10/2026</v>
      </c>
      <c r="B170" s="11" t="s">
        <v>73</v>
      </c>
      <c r="C170" s="4" t="s">
        <v>28</v>
      </c>
      <c r="D170" s="7">
        <f>VLOOKUP(A170, main!$A:$D, 4, FALSE)</f>
        <v>0.41319444444444442</v>
      </c>
      <c r="E170" s="5">
        <v>0.91597222222222219</v>
      </c>
    </row>
    <row r="171" ht="15.75" customHeight="1">
      <c r="A171" s="3" t="str">
        <f t="shared" si="0"/>
        <v>Camila Torres 1/10/2026</v>
      </c>
      <c r="B171" s="11" t="s">
        <v>73</v>
      </c>
      <c r="C171" s="4" t="s">
        <v>39</v>
      </c>
      <c r="D171" s="7">
        <f>VLOOKUP(A171, main!$A:$D, 4, FALSE)</f>
        <v>0.4548611111111111</v>
      </c>
      <c r="E171" s="5">
        <v>0.9375</v>
      </c>
    </row>
    <row r="172" ht="15.75" customHeight="1">
      <c r="B172" s="13"/>
    </row>
    <row r="173" ht="15.75" customHeight="1">
      <c r="B173" s="13"/>
    </row>
    <row r="174" ht="15.75" customHeight="1">
      <c r="B174" s="13"/>
    </row>
    <row r="175" ht="15.75" customHeight="1">
      <c r="B175" s="13"/>
    </row>
    <row r="176" ht="15.75" customHeight="1">
      <c r="B176" s="13"/>
    </row>
    <row r="177" ht="15.75" customHeight="1">
      <c r="B177" s="13"/>
    </row>
    <row r="178" ht="15.75" customHeight="1">
      <c r="B178" s="13"/>
    </row>
    <row r="179" ht="15.75" customHeight="1">
      <c r="B179" s="13"/>
    </row>
    <row r="180" ht="15.75" customHeight="1">
      <c r="B180" s="13"/>
    </row>
    <row r="181" ht="15.75" customHeight="1">
      <c r="B181" s="13"/>
    </row>
    <row r="182" ht="15.75" customHeight="1">
      <c r="B182" s="13"/>
    </row>
    <row r="183" ht="15.75" customHeight="1">
      <c r="B183" s="13"/>
    </row>
    <row r="184" ht="15.75" customHeight="1">
      <c r="B184" s="13"/>
    </row>
    <row r="185" ht="15.75" customHeight="1">
      <c r="B185" s="13"/>
    </row>
    <row r="186" ht="15.75" customHeight="1">
      <c r="B186" s="13"/>
    </row>
    <row r="187" ht="15.75" customHeight="1">
      <c r="B187" s="13"/>
    </row>
    <row r="188" ht="15.75" customHeight="1">
      <c r="B188" s="13"/>
    </row>
    <row r="189" ht="15.75" customHeight="1">
      <c r="B189" s="13"/>
    </row>
    <row r="190" ht="15.75" customHeight="1">
      <c r="B190" s="13"/>
    </row>
    <row r="191" ht="15.75" customHeight="1">
      <c r="B191" s="13"/>
    </row>
    <row r="192" ht="15.75" customHeight="1">
      <c r="B192" s="13"/>
    </row>
    <row r="193" ht="15.75" customHeight="1">
      <c r="B193" s="13"/>
    </row>
    <row r="194" ht="15.75" customHeight="1">
      <c r="B194" s="13"/>
    </row>
    <row r="195" ht="15.75" customHeight="1">
      <c r="B195" s="13"/>
    </row>
    <row r="196" ht="15.75" customHeight="1">
      <c r="B196" s="13"/>
    </row>
    <row r="197" ht="15.75" customHeight="1">
      <c r="B197" s="13"/>
    </row>
    <row r="198" ht="15.75" customHeight="1">
      <c r="B198" s="13"/>
    </row>
    <row r="199" ht="15.75" customHeight="1">
      <c r="B199" s="13"/>
    </row>
    <row r="200" ht="15.75" customHeight="1">
      <c r="B200" s="13"/>
    </row>
    <row r="201" ht="15.75" customHeight="1">
      <c r="B201" s="13"/>
    </row>
    <row r="202" ht="15.75" customHeight="1">
      <c r="B202" s="13"/>
    </row>
    <row r="203" ht="15.75" customHeight="1">
      <c r="B203" s="13"/>
    </row>
    <row r="204" ht="15.75" customHeight="1">
      <c r="B204" s="13"/>
    </row>
    <row r="205" ht="15.75" customHeight="1">
      <c r="B205" s="13"/>
    </row>
    <row r="206" ht="15.75" customHeight="1">
      <c r="B206" s="13"/>
    </row>
    <row r="207" ht="15.75" customHeight="1">
      <c r="B207" s="13"/>
    </row>
    <row r="208" ht="15.75" customHeight="1">
      <c r="B208" s="13"/>
    </row>
    <row r="209" ht="15.75" customHeight="1">
      <c r="B209" s="13"/>
    </row>
    <row r="210" ht="15.75" customHeight="1">
      <c r="B210" s="13"/>
    </row>
    <row r="211" ht="15.75" customHeight="1">
      <c r="B211" s="13"/>
    </row>
    <row r="212" ht="15.75" customHeight="1">
      <c r="B212" s="13"/>
    </row>
    <row r="213" ht="15.75" customHeight="1">
      <c r="B213" s="13"/>
    </row>
    <row r="214" ht="15.75" customHeight="1">
      <c r="B214" s="13"/>
    </row>
    <row r="215" ht="15.75" customHeight="1">
      <c r="B215" s="13"/>
    </row>
    <row r="216" ht="15.75" customHeight="1">
      <c r="B216" s="13"/>
    </row>
    <row r="217" ht="15.75" customHeight="1">
      <c r="B217" s="13"/>
    </row>
    <row r="218" ht="15.75" customHeight="1">
      <c r="B218" s="13"/>
    </row>
    <row r="219" ht="15.75" customHeight="1">
      <c r="B219" s="13"/>
    </row>
    <row r="220" ht="15.75" customHeight="1">
      <c r="B220" s="13"/>
    </row>
    <row r="221" ht="15.75" customHeight="1">
      <c r="B221" s="13"/>
    </row>
    <row r="222" ht="15.75" customHeight="1">
      <c r="B222" s="13"/>
    </row>
    <row r="223" ht="15.75" customHeight="1">
      <c r="B223" s="13"/>
    </row>
    <row r="224" ht="15.75" customHeight="1">
      <c r="B224" s="13"/>
    </row>
    <row r="225" ht="15.75" customHeight="1">
      <c r="B225" s="13"/>
    </row>
    <row r="226" ht="15.75" customHeight="1">
      <c r="B226" s="13"/>
    </row>
    <row r="227" ht="15.75" customHeight="1">
      <c r="B227" s="13"/>
    </row>
    <row r="228" ht="15.75" customHeight="1">
      <c r="B228" s="13"/>
    </row>
    <row r="229" ht="15.75" customHeight="1">
      <c r="B229" s="13"/>
    </row>
    <row r="230" ht="15.75" customHeight="1">
      <c r="B230" s="13"/>
    </row>
    <row r="231" ht="15.75" customHeight="1">
      <c r="B231" s="13"/>
    </row>
    <row r="232" ht="15.75" customHeight="1">
      <c r="B232" s="13"/>
    </row>
    <row r="233" ht="15.75" customHeight="1">
      <c r="B233" s="13"/>
    </row>
    <row r="234" ht="15.75" customHeight="1">
      <c r="B234" s="13"/>
    </row>
    <row r="235" ht="15.75" customHeight="1">
      <c r="B235" s="13"/>
    </row>
    <row r="236" ht="15.75" customHeight="1">
      <c r="B236" s="13"/>
    </row>
    <row r="237" ht="15.75" customHeight="1">
      <c r="B237" s="13"/>
    </row>
    <row r="238" ht="15.75" customHeight="1">
      <c r="B238" s="13"/>
    </row>
    <row r="239" ht="15.75" customHeight="1">
      <c r="B239" s="13"/>
    </row>
    <row r="240" ht="15.75" customHeight="1">
      <c r="B240" s="13"/>
    </row>
    <row r="241" ht="15.75" customHeight="1">
      <c r="B241" s="13"/>
    </row>
    <row r="242" ht="15.75" customHeight="1">
      <c r="B242" s="13"/>
    </row>
    <row r="243" ht="15.75" customHeight="1">
      <c r="B243" s="13"/>
    </row>
    <row r="244" ht="15.75" customHeight="1">
      <c r="B244" s="13"/>
    </row>
    <row r="245" ht="15.75" customHeight="1">
      <c r="B245" s="13"/>
    </row>
    <row r="246" ht="15.75" customHeight="1">
      <c r="B246" s="13"/>
    </row>
    <row r="247" ht="15.75" customHeight="1">
      <c r="B247" s="13"/>
    </row>
    <row r="248" ht="15.75" customHeight="1">
      <c r="B248" s="13"/>
    </row>
    <row r="249" ht="15.75" customHeight="1">
      <c r="B249" s="13"/>
    </row>
    <row r="250" ht="15.75" customHeight="1">
      <c r="B250" s="13"/>
    </row>
    <row r="251" ht="15.75" customHeight="1">
      <c r="B251" s="13"/>
    </row>
    <row r="252" ht="15.75" customHeight="1">
      <c r="B252" s="13"/>
    </row>
    <row r="253" ht="15.75" customHeight="1">
      <c r="B253" s="13"/>
    </row>
    <row r="254" ht="15.75" customHeight="1">
      <c r="B254" s="13"/>
    </row>
    <row r="255" ht="15.75" customHeight="1">
      <c r="B255" s="13"/>
    </row>
    <row r="256" ht="15.75" customHeight="1">
      <c r="B256" s="13"/>
    </row>
    <row r="257" ht="15.75" customHeight="1">
      <c r="B257" s="13"/>
    </row>
    <row r="258" ht="15.75" customHeight="1">
      <c r="B258" s="13"/>
    </row>
    <row r="259" ht="15.75" customHeight="1">
      <c r="B259" s="13"/>
    </row>
    <row r="260" ht="15.75" customHeight="1">
      <c r="B260" s="13"/>
    </row>
    <row r="261" ht="15.75" customHeight="1">
      <c r="B261" s="13"/>
    </row>
    <row r="262" ht="15.75" customHeight="1">
      <c r="B262" s="13"/>
    </row>
    <row r="263" ht="15.75" customHeight="1">
      <c r="B263" s="13"/>
    </row>
    <row r="264" ht="15.75" customHeight="1">
      <c r="B264" s="13"/>
    </row>
    <row r="265" ht="15.75" customHeight="1">
      <c r="B265" s="13"/>
    </row>
    <row r="266" ht="15.75" customHeight="1">
      <c r="B266" s="13"/>
    </row>
    <row r="267" ht="15.75" customHeight="1">
      <c r="B267" s="13"/>
    </row>
    <row r="268" ht="15.75" customHeight="1">
      <c r="B268" s="13"/>
    </row>
    <row r="269" ht="15.75" customHeight="1">
      <c r="B269" s="13"/>
    </row>
    <row r="270" ht="15.75" customHeight="1">
      <c r="B270" s="13"/>
    </row>
    <row r="271" ht="15.75" customHeight="1">
      <c r="B271" s="13"/>
    </row>
    <row r="272" ht="15.75" customHeight="1">
      <c r="B272" s="13"/>
    </row>
    <row r="273" ht="15.75" customHeight="1">
      <c r="B273" s="13"/>
    </row>
    <row r="274" ht="15.75" customHeight="1">
      <c r="B274" s="13"/>
    </row>
    <row r="275" ht="15.75" customHeight="1">
      <c r="B275" s="13"/>
    </row>
    <row r="276" ht="15.75" customHeight="1">
      <c r="B276" s="13"/>
    </row>
    <row r="277" ht="15.75" customHeight="1">
      <c r="B277" s="13"/>
    </row>
    <row r="278" ht="15.75" customHeight="1">
      <c r="B278" s="13"/>
    </row>
    <row r="279" ht="15.75" customHeight="1">
      <c r="B279" s="13"/>
    </row>
    <row r="280" ht="15.75" customHeight="1">
      <c r="B280" s="13"/>
    </row>
    <row r="281" ht="15.75" customHeight="1">
      <c r="B281" s="13"/>
    </row>
    <row r="282" ht="15.75" customHeight="1">
      <c r="B282" s="13"/>
    </row>
    <row r="283" ht="15.75" customHeight="1">
      <c r="B283" s="13"/>
    </row>
    <row r="284" ht="15.75" customHeight="1">
      <c r="B284" s="13"/>
    </row>
    <row r="285" ht="15.75" customHeight="1">
      <c r="B285" s="13"/>
    </row>
    <row r="286" ht="15.75" customHeight="1">
      <c r="B286" s="13"/>
    </row>
    <row r="287" ht="15.75" customHeight="1">
      <c r="B287" s="13"/>
    </row>
    <row r="288" ht="15.75" customHeight="1">
      <c r="B288" s="13"/>
    </row>
    <row r="289" ht="15.75" customHeight="1">
      <c r="B289" s="13"/>
    </row>
    <row r="290" ht="15.75" customHeight="1">
      <c r="B290" s="13"/>
    </row>
    <row r="291" ht="15.75" customHeight="1">
      <c r="B291" s="13"/>
    </row>
    <row r="292" ht="15.75" customHeight="1">
      <c r="B292" s="13"/>
    </row>
    <row r="293" ht="15.75" customHeight="1">
      <c r="B293" s="13"/>
    </row>
    <row r="294" ht="15.75" customHeight="1">
      <c r="B294" s="13"/>
    </row>
    <row r="295" ht="15.75" customHeight="1">
      <c r="B295" s="13"/>
    </row>
    <row r="296" ht="15.75" customHeight="1">
      <c r="B296" s="13"/>
    </row>
    <row r="297" ht="15.75" customHeight="1">
      <c r="B297" s="13"/>
    </row>
    <row r="298" ht="15.75" customHeight="1">
      <c r="B298" s="13"/>
    </row>
    <row r="299" ht="15.75" customHeight="1">
      <c r="B299" s="13"/>
    </row>
    <row r="300" ht="15.75" customHeight="1">
      <c r="B300" s="13"/>
    </row>
    <row r="301" ht="15.75" customHeight="1">
      <c r="B301" s="13"/>
    </row>
    <row r="302" ht="15.75" customHeight="1">
      <c r="B302" s="13"/>
    </row>
    <row r="303" ht="15.75" customHeight="1">
      <c r="B303" s="13"/>
    </row>
    <row r="304" ht="15.75" customHeight="1">
      <c r="B304" s="13"/>
    </row>
    <row r="305" ht="15.75" customHeight="1">
      <c r="B305" s="13"/>
    </row>
    <row r="306" ht="15.75" customHeight="1">
      <c r="B306" s="13"/>
    </row>
    <row r="307" ht="15.75" customHeight="1">
      <c r="B307" s="13"/>
    </row>
    <row r="308" ht="15.75" customHeight="1">
      <c r="B308" s="13"/>
    </row>
    <row r="309" ht="15.75" customHeight="1">
      <c r="B309" s="13"/>
    </row>
    <row r="310" ht="15.75" customHeight="1">
      <c r="B310" s="13"/>
    </row>
    <row r="311" ht="15.75" customHeight="1">
      <c r="B311" s="13"/>
    </row>
    <row r="312" ht="15.75" customHeight="1">
      <c r="B312" s="13"/>
    </row>
    <row r="313" ht="15.75" customHeight="1">
      <c r="B313" s="13"/>
    </row>
    <row r="314" ht="15.75" customHeight="1">
      <c r="B314" s="13"/>
    </row>
    <row r="315" ht="15.75" customHeight="1">
      <c r="B315" s="13"/>
    </row>
    <row r="316" ht="15.75" customHeight="1">
      <c r="B316" s="13"/>
    </row>
    <row r="317" ht="15.75" customHeight="1">
      <c r="B317" s="13"/>
    </row>
    <row r="318" ht="15.75" customHeight="1">
      <c r="B318" s="13"/>
    </row>
    <row r="319" ht="15.75" customHeight="1">
      <c r="B319" s="13"/>
    </row>
    <row r="320" ht="15.75" customHeight="1">
      <c r="B320" s="13"/>
    </row>
    <row r="321" ht="15.75" customHeight="1">
      <c r="B321" s="13"/>
    </row>
    <row r="322" ht="15.75" customHeight="1">
      <c r="B322" s="13"/>
    </row>
    <row r="323" ht="15.75" customHeight="1">
      <c r="B323" s="13"/>
    </row>
    <row r="324" ht="15.75" customHeight="1">
      <c r="B324" s="13"/>
    </row>
    <row r="325" ht="15.75" customHeight="1">
      <c r="B325" s="13"/>
    </row>
    <row r="326" ht="15.75" customHeight="1">
      <c r="B326" s="13"/>
    </row>
    <row r="327" ht="15.75" customHeight="1">
      <c r="B327" s="13"/>
    </row>
    <row r="328" ht="15.75" customHeight="1">
      <c r="B328" s="13"/>
    </row>
    <row r="329" ht="15.75" customHeight="1">
      <c r="B329" s="13"/>
    </row>
    <row r="330" ht="15.75" customHeight="1">
      <c r="B330" s="13"/>
    </row>
    <row r="331" ht="15.75" customHeight="1">
      <c r="B331" s="13"/>
    </row>
    <row r="332" ht="15.75" customHeight="1">
      <c r="B332" s="13"/>
    </row>
    <row r="333" ht="15.75" customHeight="1">
      <c r="B333" s="13"/>
    </row>
    <row r="334" ht="15.75" customHeight="1">
      <c r="B334" s="13"/>
    </row>
    <row r="335" ht="15.75" customHeight="1">
      <c r="B335" s="13"/>
    </row>
    <row r="336" ht="15.75" customHeight="1">
      <c r="B336" s="13"/>
    </row>
    <row r="337" ht="15.75" customHeight="1">
      <c r="B337" s="13"/>
    </row>
    <row r="338" ht="15.75" customHeight="1">
      <c r="B338" s="13"/>
    </row>
    <row r="339" ht="15.75" customHeight="1">
      <c r="B339" s="13"/>
    </row>
    <row r="340" ht="15.75" customHeight="1">
      <c r="B340" s="13"/>
    </row>
    <row r="341" ht="15.75" customHeight="1">
      <c r="B341" s="13"/>
    </row>
    <row r="342" ht="15.75" customHeight="1">
      <c r="B342" s="13"/>
    </row>
    <row r="343" ht="15.75" customHeight="1">
      <c r="B343" s="13"/>
    </row>
    <row r="344" ht="15.75" customHeight="1">
      <c r="B344" s="13"/>
    </row>
    <row r="345" ht="15.75" customHeight="1">
      <c r="B345" s="13"/>
    </row>
    <row r="346" ht="15.75" customHeight="1">
      <c r="B346" s="13"/>
    </row>
    <row r="347" ht="15.75" customHeight="1">
      <c r="B347" s="13"/>
    </row>
    <row r="348" ht="15.75" customHeight="1">
      <c r="B348" s="13"/>
    </row>
    <row r="349" ht="15.75" customHeight="1">
      <c r="B349" s="13"/>
    </row>
    <row r="350" ht="15.75" customHeight="1">
      <c r="B350" s="13"/>
    </row>
    <row r="351" ht="15.75" customHeight="1">
      <c r="B351" s="13"/>
    </row>
    <row r="352" ht="15.75" customHeight="1">
      <c r="B352" s="13"/>
    </row>
    <row r="353" ht="15.75" customHeight="1">
      <c r="B353" s="13"/>
    </row>
    <row r="354" ht="15.75" customHeight="1">
      <c r="B354" s="13"/>
    </row>
    <row r="355" ht="15.75" customHeight="1">
      <c r="B355" s="13"/>
    </row>
    <row r="356" ht="15.75" customHeight="1">
      <c r="B356" s="13"/>
    </row>
    <row r="357" ht="15.75" customHeight="1">
      <c r="B357" s="13"/>
    </row>
    <row r="358" ht="15.75" customHeight="1">
      <c r="B358" s="13"/>
    </row>
    <row r="359" ht="15.75" customHeight="1">
      <c r="B359" s="13"/>
    </row>
    <row r="360" ht="15.75" customHeight="1">
      <c r="B360" s="13"/>
    </row>
    <row r="361" ht="15.75" customHeight="1">
      <c r="B361" s="13"/>
    </row>
    <row r="362" ht="15.75" customHeight="1">
      <c r="B362" s="13"/>
    </row>
    <row r="363" ht="15.75" customHeight="1">
      <c r="B363" s="13"/>
    </row>
    <row r="364" ht="15.75" customHeight="1">
      <c r="B364" s="13"/>
    </row>
    <row r="365" ht="15.75" customHeight="1">
      <c r="B365" s="13"/>
    </row>
    <row r="366" ht="15.75" customHeight="1">
      <c r="B366" s="13"/>
    </row>
    <row r="367" ht="15.75" customHeight="1">
      <c r="B367" s="13"/>
    </row>
    <row r="368" ht="15.75" customHeight="1">
      <c r="B368" s="13"/>
    </row>
    <row r="369" ht="15.75" customHeight="1">
      <c r="B369" s="13"/>
    </row>
    <row r="370" ht="15.75" customHeight="1">
      <c r="B370" s="13"/>
    </row>
    <row r="371" ht="15.75" customHeight="1">
      <c r="B371" s="13"/>
    </row>
    <row r="372" ht="15.75" customHeight="1">
      <c r="B372" s="13"/>
    </row>
    <row r="373" ht="15.75" customHeight="1">
      <c r="B373" s="13"/>
    </row>
    <row r="374" ht="15.75" customHeight="1">
      <c r="B374" s="13"/>
    </row>
    <row r="375" ht="15.75" customHeight="1">
      <c r="B375" s="13"/>
    </row>
    <row r="376" ht="15.75" customHeight="1">
      <c r="B376" s="13"/>
    </row>
    <row r="377" ht="15.75" customHeight="1">
      <c r="B377" s="13"/>
    </row>
    <row r="378" ht="15.75" customHeight="1">
      <c r="B378" s="13"/>
    </row>
    <row r="379" ht="15.75" customHeight="1">
      <c r="B379" s="13"/>
    </row>
    <row r="380" ht="15.75" customHeight="1">
      <c r="B380" s="13"/>
    </row>
    <row r="381" ht="15.75" customHeight="1">
      <c r="B381" s="13"/>
    </row>
    <row r="382" ht="15.75" customHeight="1">
      <c r="B382" s="13"/>
    </row>
    <row r="383" ht="15.75" customHeight="1">
      <c r="B383" s="13"/>
    </row>
    <row r="384" ht="15.75" customHeight="1">
      <c r="B384" s="13"/>
    </row>
    <row r="385" ht="15.75" customHeight="1">
      <c r="B385" s="13"/>
    </row>
    <row r="386" ht="15.75" customHeight="1">
      <c r="B386" s="13"/>
    </row>
    <row r="387" ht="15.75" customHeight="1">
      <c r="B387" s="13"/>
    </row>
    <row r="388" ht="15.75" customHeight="1">
      <c r="B388" s="13"/>
    </row>
    <row r="389" ht="15.75" customHeight="1">
      <c r="B389" s="13"/>
    </row>
    <row r="390" ht="15.75" customHeight="1">
      <c r="B390" s="13"/>
    </row>
    <row r="391" ht="15.75" customHeight="1">
      <c r="B391" s="13"/>
    </row>
    <row r="392" ht="15.75" customHeight="1">
      <c r="B392" s="13"/>
    </row>
    <row r="393" ht="15.75" customHeight="1">
      <c r="B393" s="13"/>
    </row>
    <row r="394" ht="15.75" customHeight="1">
      <c r="B394" s="13"/>
    </row>
    <row r="395" ht="15.75" customHeight="1">
      <c r="B395" s="13"/>
    </row>
    <row r="396" ht="15.75" customHeight="1">
      <c r="B396" s="13"/>
    </row>
    <row r="397" ht="15.75" customHeight="1">
      <c r="B397" s="13"/>
    </row>
    <row r="398" ht="15.75" customHeight="1">
      <c r="B398" s="13"/>
    </row>
    <row r="399" ht="15.75" customHeight="1">
      <c r="B399" s="13"/>
    </row>
    <row r="400" ht="15.75" customHeight="1">
      <c r="B400" s="13"/>
    </row>
    <row r="401" ht="15.75" customHeight="1">
      <c r="B401" s="13"/>
    </row>
    <row r="402" ht="15.75" customHeight="1">
      <c r="B402" s="13"/>
    </row>
    <row r="403" ht="15.75" customHeight="1">
      <c r="B403" s="13"/>
    </row>
    <row r="404" ht="15.75" customHeight="1">
      <c r="B404" s="13"/>
    </row>
    <row r="405" ht="15.75" customHeight="1">
      <c r="B405" s="13"/>
    </row>
    <row r="406" ht="15.75" customHeight="1">
      <c r="B406" s="13"/>
    </row>
    <row r="407" ht="15.75" customHeight="1">
      <c r="B407" s="13"/>
    </row>
    <row r="408" ht="15.75" customHeight="1">
      <c r="B408" s="13"/>
    </row>
    <row r="409" ht="15.75" customHeight="1">
      <c r="B409" s="13"/>
    </row>
    <row r="410" ht="15.75" customHeight="1">
      <c r="B410" s="13"/>
    </row>
    <row r="411" ht="15.75" customHeight="1">
      <c r="B411" s="13"/>
    </row>
    <row r="412" ht="15.75" customHeight="1">
      <c r="B412" s="13"/>
    </row>
    <row r="413" ht="15.75" customHeight="1">
      <c r="B413" s="13"/>
    </row>
    <row r="414" ht="15.75" customHeight="1">
      <c r="B414" s="13"/>
    </row>
    <row r="415" ht="15.75" customHeight="1">
      <c r="B415" s="13"/>
    </row>
    <row r="416" ht="15.75" customHeight="1">
      <c r="B416" s="13"/>
    </row>
    <row r="417" ht="15.75" customHeight="1">
      <c r="B417" s="13"/>
    </row>
    <row r="418" ht="15.75" customHeight="1">
      <c r="B418" s="13"/>
    </row>
    <row r="419" ht="15.75" customHeight="1">
      <c r="B419" s="13"/>
    </row>
    <row r="420" ht="15.75" customHeight="1">
      <c r="B420" s="13"/>
    </row>
    <row r="421" ht="15.75" customHeight="1">
      <c r="B421" s="13"/>
    </row>
    <row r="422" ht="15.75" customHeight="1">
      <c r="B422" s="13"/>
    </row>
    <row r="423" ht="15.75" customHeight="1">
      <c r="B423" s="13"/>
    </row>
    <row r="424" ht="15.75" customHeight="1">
      <c r="B424" s="13"/>
    </row>
    <row r="425" ht="15.75" customHeight="1">
      <c r="B425" s="13"/>
    </row>
    <row r="426" ht="15.75" customHeight="1">
      <c r="B426" s="13"/>
    </row>
    <row r="427" ht="15.75" customHeight="1">
      <c r="B427" s="13"/>
    </row>
    <row r="428" ht="15.75" customHeight="1">
      <c r="B428" s="13"/>
    </row>
    <row r="429" ht="15.75" customHeight="1">
      <c r="B429" s="13"/>
    </row>
    <row r="430" ht="15.75" customHeight="1">
      <c r="B430" s="13"/>
    </row>
    <row r="431" ht="15.75" customHeight="1">
      <c r="B431" s="13"/>
    </row>
    <row r="432" ht="15.75" customHeight="1">
      <c r="B432" s="13"/>
    </row>
    <row r="433" ht="15.75" customHeight="1">
      <c r="B433" s="13"/>
    </row>
    <row r="434" ht="15.75" customHeight="1">
      <c r="B434" s="13"/>
    </row>
    <row r="435" ht="15.75" customHeight="1">
      <c r="B435" s="13"/>
    </row>
    <row r="436" ht="15.75" customHeight="1">
      <c r="B436" s="13"/>
    </row>
    <row r="437" ht="15.75" customHeight="1">
      <c r="B437" s="13"/>
    </row>
    <row r="438" ht="15.75" customHeight="1">
      <c r="B438" s="13"/>
    </row>
    <row r="439" ht="15.75" customHeight="1">
      <c r="B439" s="13"/>
    </row>
    <row r="440" ht="15.75" customHeight="1">
      <c r="B440" s="13"/>
    </row>
    <row r="441" ht="15.75" customHeight="1">
      <c r="B441" s="13"/>
    </row>
    <row r="442" ht="15.75" customHeight="1">
      <c r="B442" s="13"/>
    </row>
    <row r="443" ht="15.75" customHeight="1">
      <c r="B443" s="13"/>
    </row>
    <row r="444" ht="15.75" customHeight="1">
      <c r="B444" s="13"/>
    </row>
    <row r="445" ht="15.75" customHeight="1">
      <c r="B445" s="13"/>
    </row>
    <row r="446" ht="15.75" customHeight="1">
      <c r="B446" s="13"/>
    </row>
    <row r="447" ht="15.75" customHeight="1">
      <c r="B447" s="13"/>
    </row>
    <row r="448" ht="15.75" customHeight="1">
      <c r="B448" s="13"/>
    </row>
    <row r="449" ht="15.75" customHeight="1">
      <c r="B449" s="13"/>
    </row>
    <row r="450" ht="15.75" customHeight="1">
      <c r="B450" s="13"/>
    </row>
    <row r="451" ht="15.75" customHeight="1">
      <c r="B451" s="13"/>
    </row>
    <row r="452" ht="15.75" customHeight="1">
      <c r="B452" s="13"/>
    </row>
    <row r="453" ht="15.75" customHeight="1">
      <c r="B453" s="13"/>
    </row>
    <row r="454" ht="15.75" customHeight="1">
      <c r="B454" s="13"/>
    </row>
    <row r="455" ht="15.75" customHeight="1">
      <c r="B455" s="13"/>
    </row>
    <row r="456" ht="15.75" customHeight="1">
      <c r="B456" s="13"/>
    </row>
    <row r="457" ht="15.75" customHeight="1">
      <c r="B457" s="13"/>
    </row>
    <row r="458" ht="15.75" customHeight="1">
      <c r="B458" s="13"/>
    </row>
    <row r="459" ht="15.75" customHeight="1">
      <c r="B459" s="13"/>
    </row>
    <row r="460" ht="15.75" customHeight="1">
      <c r="B460" s="13"/>
    </row>
    <row r="461" ht="15.75" customHeight="1">
      <c r="B461" s="13"/>
    </row>
    <row r="462" ht="15.75" customHeight="1">
      <c r="B462" s="13"/>
    </row>
    <row r="463" ht="15.75" customHeight="1">
      <c r="B463" s="13"/>
    </row>
    <row r="464" ht="15.75" customHeight="1">
      <c r="B464" s="13"/>
    </row>
    <row r="465" ht="15.75" customHeight="1">
      <c r="B465" s="13"/>
    </row>
    <row r="466" ht="15.75" customHeight="1">
      <c r="B466" s="13"/>
    </row>
    <row r="467" ht="15.75" customHeight="1">
      <c r="B467" s="13"/>
    </row>
    <row r="468" ht="15.75" customHeight="1">
      <c r="B468" s="13"/>
    </row>
    <row r="469" ht="15.75" customHeight="1">
      <c r="B469" s="13"/>
    </row>
    <row r="470" ht="15.75" customHeight="1">
      <c r="B470" s="13"/>
    </row>
    <row r="471" ht="15.75" customHeight="1">
      <c r="B471" s="13"/>
    </row>
    <row r="472" ht="15.75" customHeight="1">
      <c r="B472" s="13"/>
    </row>
    <row r="473" ht="15.75" customHeight="1">
      <c r="B473" s="13"/>
    </row>
    <row r="474" ht="15.75" customHeight="1">
      <c r="B474" s="13"/>
    </row>
    <row r="475" ht="15.75" customHeight="1">
      <c r="B475" s="13"/>
    </row>
    <row r="476" ht="15.75" customHeight="1">
      <c r="B476" s="13"/>
    </row>
    <row r="477" ht="15.75" customHeight="1">
      <c r="B477" s="13"/>
    </row>
    <row r="478" ht="15.75" customHeight="1">
      <c r="B478" s="13"/>
    </row>
    <row r="479" ht="15.75" customHeight="1">
      <c r="B479" s="13"/>
    </row>
    <row r="480" ht="15.75" customHeight="1">
      <c r="B480" s="13"/>
    </row>
    <row r="481" ht="15.75" customHeight="1">
      <c r="B481" s="13"/>
    </row>
    <row r="482" ht="15.75" customHeight="1">
      <c r="B482" s="13"/>
    </row>
    <row r="483" ht="15.75" customHeight="1">
      <c r="B483" s="13"/>
    </row>
    <row r="484" ht="15.75" customHeight="1">
      <c r="B484" s="13"/>
    </row>
    <row r="485" ht="15.75" customHeight="1">
      <c r="B485" s="13"/>
    </row>
    <row r="486" ht="15.75" customHeight="1">
      <c r="B486" s="13"/>
    </row>
    <row r="487" ht="15.75" customHeight="1">
      <c r="B487" s="13"/>
    </row>
    <row r="488" ht="15.75" customHeight="1">
      <c r="B488" s="13"/>
    </row>
    <row r="489" ht="15.75" customHeight="1">
      <c r="B489" s="13"/>
    </row>
    <row r="490" ht="15.75" customHeight="1">
      <c r="B490" s="13"/>
    </row>
    <row r="491" ht="15.75" customHeight="1">
      <c r="B491" s="13"/>
    </row>
    <row r="492" ht="15.75" customHeight="1">
      <c r="B492" s="13"/>
    </row>
    <row r="493" ht="15.75" customHeight="1">
      <c r="B493" s="13"/>
    </row>
    <row r="494" ht="15.75" customHeight="1">
      <c r="B494" s="13"/>
    </row>
    <row r="495" ht="15.75" customHeight="1">
      <c r="B495" s="13"/>
    </row>
    <row r="496" ht="15.75" customHeight="1">
      <c r="B496" s="13"/>
    </row>
    <row r="497" ht="15.75" customHeight="1">
      <c r="B497" s="13"/>
    </row>
    <row r="498" ht="15.75" customHeight="1">
      <c r="B498" s="13"/>
    </row>
    <row r="499" ht="15.75" customHeight="1">
      <c r="B499" s="13"/>
    </row>
    <row r="500" ht="15.75" customHeight="1">
      <c r="B500" s="13"/>
    </row>
    <row r="501" ht="15.75" customHeight="1">
      <c r="B501" s="13"/>
    </row>
    <row r="502" ht="15.75" customHeight="1">
      <c r="B502" s="13"/>
    </row>
    <row r="503" ht="15.75" customHeight="1">
      <c r="B503" s="13"/>
    </row>
    <row r="504" ht="15.75" customHeight="1">
      <c r="B504" s="13"/>
    </row>
    <row r="505" ht="15.75" customHeight="1">
      <c r="B505" s="13"/>
    </row>
    <row r="506" ht="15.75" customHeight="1">
      <c r="B506" s="13"/>
    </row>
    <row r="507" ht="15.75" customHeight="1">
      <c r="B507" s="13"/>
    </row>
    <row r="508" ht="15.75" customHeight="1">
      <c r="B508" s="13"/>
    </row>
    <row r="509" ht="15.75" customHeight="1">
      <c r="B509" s="13"/>
    </row>
    <row r="510" ht="15.75" customHeight="1">
      <c r="B510" s="13"/>
    </row>
    <row r="511" ht="15.75" customHeight="1">
      <c r="B511" s="13"/>
    </row>
    <row r="512" ht="15.75" customHeight="1">
      <c r="B512" s="13"/>
    </row>
    <row r="513" ht="15.75" customHeight="1">
      <c r="B513" s="13"/>
    </row>
    <row r="514" ht="15.75" customHeight="1">
      <c r="B514" s="13"/>
    </row>
    <row r="515" ht="15.75" customHeight="1">
      <c r="B515" s="13"/>
    </row>
    <row r="516" ht="15.75" customHeight="1">
      <c r="B516" s="13"/>
    </row>
    <row r="517" ht="15.75" customHeight="1">
      <c r="B517" s="13"/>
    </row>
    <row r="518" ht="15.75" customHeight="1">
      <c r="B518" s="13"/>
    </row>
    <row r="519" ht="15.75" customHeight="1">
      <c r="B519" s="13"/>
    </row>
    <row r="520" ht="15.75" customHeight="1">
      <c r="B520" s="13"/>
    </row>
    <row r="521" ht="15.75" customHeight="1">
      <c r="B521" s="13"/>
    </row>
    <row r="522" ht="15.75" customHeight="1">
      <c r="B522" s="13"/>
    </row>
    <row r="523" ht="15.75" customHeight="1">
      <c r="B523" s="13"/>
    </row>
    <row r="524" ht="15.75" customHeight="1">
      <c r="B524" s="13"/>
    </row>
    <row r="525" ht="15.75" customHeight="1">
      <c r="B525" s="13"/>
    </row>
    <row r="526" ht="15.75" customHeight="1">
      <c r="B526" s="13"/>
    </row>
    <row r="527" ht="15.75" customHeight="1">
      <c r="B527" s="13"/>
    </row>
    <row r="528" ht="15.75" customHeight="1">
      <c r="B528" s="13"/>
    </row>
    <row r="529" ht="15.75" customHeight="1">
      <c r="B529" s="13"/>
    </row>
    <row r="530" ht="15.75" customHeight="1">
      <c r="B530" s="13"/>
    </row>
    <row r="531" ht="15.75" customHeight="1">
      <c r="B531" s="13"/>
    </row>
    <row r="532" ht="15.75" customHeight="1">
      <c r="B532" s="13"/>
    </row>
    <row r="533" ht="15.75" customHeight="1">
      <c r="B533" s="13"/>
    </row>
    <row r="534" ht="15.75" customHeight="1">
      <c r="B534" s="13"/>
    </row>
    <row r="535" ht="15.75" customHeight="1">
      <c r="B535" s="13"/>
    </row>
    <row r="536" ht="15.75" customHeight="1">
      <c r="B536" s="13"/>
    </row>
    <row r="537" ht="15.75" customHeight="1">
      <c r="B537" s="13"/>
    </row>
    <row r="538" ht="15.75" customHeight="1">
      <c r="B538" s="13"/>
    </row>
    <row r="539" ht="15.75" customHeight="1">
      <c r="B539" s="13"/>
    </row>
    <row r="540" ht="15.75" customHeight="1">
      <c r="B540" s="13"/>
    </row>
    <row r="541" ht="15.75" customHeight="1">
      <c r="B541" s="13"/>
    </row>
    <row r="542" ht="15.75" customHeight="1">
      <c r="B542" s="13"/>
    </row>
    <row r="543" ht="15.75" customHeight="1">
      <c r="B543" s="13"/>
    </row>
    <row r="544" ht="15.75" customHeight="1">
      <c r="B544" s="13"/>
    </row>
    <row r="545" ht="15.75" customHeight="1">
      <c r="B545" s="13"/>
    </row>
    <row r="546" ht="15.75" customHeight="1">
      <c r="B546" s="13"/>
    </row>
    <row r="547" ht="15.75" customHeight="1">
      <c r="B547" s="13"/>
    </row>
    <row r="548" ht="15.75" customHeight="1">
      <c r="B548" s="13"/>
    </row>
    <row r="549" ht="15.75" customHeight="1">
      <c r="B549" s="13"/>
    </row>
    <row r="550" ht="15.75" customHeight="1">
      <c r="B550" s="13"/>
    </row>
    <row r="551" ht="15.75" customHeight="1">
      <c r="B551" s="13"/>
    </row>
    <row r="552" ht="15.75" customHeight="1">
      <c r="B552" s="13"/>
    </row>
    <row r="553" ht="15.75" customHeight="1">
      <c r="B553" s="13"/>
    </row>
    <row r="554" ht="15.75" customHeight="1">
      <c r="B554" s="13"/>
    </row>
    <row r="555" ht="15.75" customHeight="1">
      <c r="B555" s="13"/>
    </row>
    <row r="556" ht="15.75" customHeight="1">
      <c r="B556" s="13"/>
    </row>
    <row r="557" ht="15.75" customHeight="1">
      <c r="B557" s="13"/>
    </row>
    <row r="558" ht="15.75" customHeight="1">
      <c r="B558" s="13"/>
    </row>
    <row r="559" ht="15.75" customHeight="1">
      <c r="B559" s="13"/>
    </row>
    <row r="560" ht="15.75" customHeight="1">
      <c r="B560" s="13"/>
    </row>
    <row r="561" ht="15.75" customHeight="1">
      <c r="B561" s="13"/>
    </row>
    <row r="562" ht="15.75" customHeight="1">
      <c r="B562" s="13"/>
    </row>
    <row r="563" ht="15.75" customHeight="1">
      <c r="B563" s="13"/>
    </row>
    <row r="564" ht="15.75" customHeight="1">
      <c r="B564" s="13"/>
    </row>
    <row r="565" ht="15.75" customHeight="1">
      <c r="B565" s="13"/>
    </row>
    <row r="566" ht="15.75" customHeight="1">
      <c r="B566" s="13"/>
    </row>
    <row r="567" ht="15.75" customHeight="1">
      <c r="B567" s="13"/>
    </row>
    <row r="568" ht="15.75" customHeight="1">
      <c r="B568" s="13"/>
    </row>
    <row r="569" ht="15.75" customHeight="1">
      <c r="B569" s="13"/>
    </row>
    <row r="570" ht="15.75" customHeight="1">
      <c r="B570" s="13"/>
    </row>
    <row r="571" ht="15.75" customHeight="1">
      <c r="B571" s="13"/>
    </row>
    <row r="572" ht="15.75" customHeight="1">
      <c r="B572" s="13"/>
    </row>
    <row r="573" ht="15.75" customHeight="1">
      <c r="B573" s="13"/>
    </row>
    <row r="574" ht="15.75" customHeight="1">
      <c r="B574" s="13"/>
    </row>
    <row r="575" ht="15.75" customHeight="1">
      <c r="B575" s="13"/>
    </row>
    <row r="576" ht="15.75" customHeight="1">
      <c r="B576" s="13"/>
    </row>
    <row r="577" ht="15.75" customHeight="1">
      <c r="B577" s="13"/>
    </row>
    <row r="578" ht="15.75" customHeight="1">
      <c r="B578" s="13"/>
    </row>
    <row r="579" ht="15.75" customHeight="1">
      <c r="B579" s="13"/>
    </row>
    <row r="580" ht="15.75" customHeight="1">
      <c r="B580" s="13"/>
    </row>
    <row r="581" ht="15.75" customHeight="1">
      <c r="B581" s="13"/>
    </row>
    <row r="582" ht="15.75" customHeight="1">
      <c r="B582" s="13"/>
    </row>
    <row r="583" ht="15.75" customHeight="1">
      <c r="B583" s="13"/>
    </row>
    <row r="584" ht="15.75" customHeight="1">
      <c r="B584" s="13"/>
    </row>
    <row r="585" ht="15.75" customHeight="1">
      <c r="B585" s="13"/>
    </row>
    <row r="586" ht="15.75" customHeight="1">
      <c r="B586" s="13"/>
    </row>
    <row r="587" ht="15.75" customHeight="1">
      <c r="B587" s="13"/>
    </row>
    <row r="588" ht="15.75" customHeight="1">
      <c r="B588" s="13"/>
    </row>
    <row r="589" ht="15.75" customHeight="1">
      <c r="B589" s="13"/>
    </row>
    <row r="590" ht="15.75" customHeight="1">
      <c r="B590" s="13"/>
    </row>
    <row r="591" ht="15.75" customHeight="1">
      <c r="B591" s="13"/>
    </row>
    <row r="592" ht="15.75" customHeight="1">
      <c r="B592" s="13"/>
    </row>
    <row r="593" ht="15.75" customHeight="1">
      <c r="B593" s="13"/>
    </row>
    <row r="594" ht="15.75" customHeight="1">
      <c r="B594" s="13"/>
    </row>
    <row r="595" ht="15.75" customHeight="1">
      <c r="B595" s="13"/>
    </row>
    <row r="596" ht="15.75" customHeight="1">
      <c r="B596" s="13"/>
    </row>
    <row r="597" ht="15.75" customHeight="1">
      <c r="B597" s="13"/>
    </row>
    <row r="598" ht="15.75" customHeight="1">
      <c r="B598" s="13"/>
    </row>
    <row r="599" ht="15.75" customHeight="1">
      <c r="B599" s="13"/>
    </row>
    <row r="600" ht="15.75" customHeight="1">
      <c r="B600" s="13"/>
    </row>
    <row r="601" ht="15.75" customHeight="1">
      <c r="B601" s="13"/>
    </row>
    <row r="602" ht="15.75" customHeight="1">
      <c r="B602" s="13"/>
    </row>
    <row r="603" ht="15.75" customHeight="1">
      <c r="B603" s="13"/>
    </row>
    <row r="604" ht="15.75" customHeight="1">
      <c r="B604" s="13"/>
    </row>
    <row r="605" ht="15.75" customHeight="1">
      <c r="B605" s="13"/>
    </row>
    <row r="606" ht="15.75" customHeight="1">
      <c r="B606" s="13"/>
    </row>
    <row r="607" ht="15.75" customHeight="1">
      <c r="B607" s="13"/>
    </row>
    <row r="608" ht="15.75" customHeight="1">
      <c r="B608" s="13"/>
    </row>
    <row r="609" ht="15.75" customHeight="1">
      <c r="B609" s="13"/>
    </row>
    <row r="610" ht="15.75" customHeight="1">
      <c r="B610" s="13"/>
    </row>
    <row r="611" ht="15.75" customHeight="1">
      <c r="B611" s="13"/>
    </row>
    <row r="612" ht="15.75" customHeight="1">
      <c r="B612" s="13"/>
    </row>
    <row r="613" ht="15.75" customHeight="1">
      <c r="B613" s="13"/>
    </row>
    <row r="614" ht="15.75" customHeight="1">
      <c r="B614" s="13"/>
    </row>
    <row r="615" ht="15.75" customHeight="1">
      <c r="B615" s="13"/>
    </row>
    <row r="616" ht="15.75" customHeight="1">
      <c r="B616" s="13"/>
    </row>
    <row r="617" ht="15.75" customHeight="1">
      <c r="B617" s="13"/>
    </row>
    <row r="618" ht="15.75" customHeight="1">
      <c r="B618" s="13"/>
    </row>
    <row r="619" ht="15.75" customHeight="1">
      <c r="B619" s="13"/>
    </row>
    <row r="620" ht="15.75" customHeight="1">
      <c r="B620" s="13"/>
    </row>
    <row r="621" ht="15.75" customHeight="1">
      <c r="B621" s="13"/>
    </row>
    <row r="622" ht="15.75" customHeight="1">
      <c r="B622" s="13"/>
    </row>
    <row r="623" ht="15.75" customHeight="1">
      <c r="B623" s="13"/>
    </row>
    <row r="624" ht="15.75" customHeight="1">
      <c r="B624" s="13"/>
    </row>
    <row r="625" ht="15.75" customHeight="1">
      <c r="B625" s="13"/>
    </row>
    <row r="626" ht="15.75" customHeight="1">
      <c r="B626" s="13"/>
    </row>
    <row r="627" ht="15.75" customHeight="1">
      <c r="B627" s="13"/>
    </row>
    <row r="628" ht="15.75" customHeight="1">
      <c r="B628" s="13"/>
    </row>
    <row r="629" ht="15.75" customHeight="1">
      <c r="B629" s="13"/>
    </row>
    <row r="630" ht="15.75" customHeight="1">
      <c r="B630" s="13"/>
    </row>
    <row r="631" ht="15.75" customHeight="1">
      <c r="B631" s="13"/>
    </row>
    <row r="632" ht="15.75" customHeight="1">
      <c r="B632" s="13"/>
    </row>
    <row r="633" ht="15.75" customHeight="1">
      <c r="B633" s="13"/>
    </row>
    <row r="634" ht="15.75" customHeight="1">
      <c r="B634" s="13"/>
    </row>
    <row r="635" ht="15.75" customHeight="1">
      <c r="B635" s="13"/>
    </row>
    <row r="636" ht="15.75" customHeight="1">
      <c r="B636" s="13"/>
    </row>
    <row r="637" ht="15.75" customHeight="1">
      <c r="B637" s="13"/>
    </row>
    <row r="638" ht="15.75" customHeight="1">
      <c r="B638" s="13"/>
    </row>
    <row r="639" ht="15.75" customHeight="1">
      <c r="B639" s="13"/>
    </row>
    <row r="640" ht="15.75" customHeight="1">
      <c r="B640" s="13"/>
    </row>
    <row r="641" ht="15.75" customHeight="1">
      <c r="B641" s="13"/>
    </row>
    <row r="642" ht="15.75" customHeight="1">
      <c r="B642" s="13"/>
    </row>
    <row r="643" ht="15.75" customHeight="1">
      <c r="B643" s="13"/>
    </row>
    <row r="644" ht="15.75" customHeight="1">
      <c r="B644" s="13"/>
    </row>
    <row r="645" ht="15.75" customHeight="1">
      <c r="B645" s="13"/>
    </row>
    <row r="646" ht="15.75" customHeight="1">
      <c r="B646" s="13"/>
    </row>
    <row r="647" ht="15.75" customHeight="1">
      <c r="B647" s="13"/>
    </row>
    <row r="648" ht="15.75" customHeight="1">
      <c r="B648" s="13"/>
    </row>
    <row r="649" ht="15.75" customHeight="1">
      <c r="B649" s="13"/>
    </row>
    <row r="650" ht="15.75" customHeight="1">
      <c r="B650" s="13"/>
    </row>
    <row r="651" ht="15.75" customHeight="1">
      <c r="B651" s="13"/>
    </row>
    <row r="652" ht="15.75" customHeight="1">
      <c r="B652" s="13"/>
    </row>
    <row r="653" ht="15.75" customHeight="1">
      <c r="B653" s="13"/>
    </row>
    <row r="654" ht="15.75" customHeight="1">
      <c r="B654" s="13"/>
    </row>
    <row r="655" ht="15.75" customHeight="1">
      <c r="B655" s="13"/>
    </row>
    <row r="656" ht="15.75" customHeight="1">
      <c r="B656" s="13"/>
    </row>
    <row r="657" ht="15.75" customHeight="1">
      <c r="B657" s="13"/>
    </row>
    <row r="658" ht="15.75" customHeight="1">
      <c r="B658" s="13"/>
    </row>
    <row r="659" ht="15.75" customHeight="1">
      <c r="B659" s="13"/>
    </row>
    <row r="660" ht="15.75" customHeight="1">
      <c r="B660" s="13"/>
    </row>
    <row r="661" ht="15.75" customHeight="1">
      <c r="B661" s="13"/>
    </row>
    <row r="662" ht="15.75" customHeight="1">
      <c r="B662" s="13"/>
    </row>
    <row r="663" ht="15.75" customHeight="1">
      <c r="B663" s="13"/>
    </row>
    <row r="664" ht="15.75" customHeight="1">
      <c r="B664" s="13"/>
    </row>
    <row r="665" ht="15.75" customHeight="1">
      <c r="B665" s="13"/>
    </row>
    <row r="666" ht="15.75" customHeight="1">
      <c r="B666" s="13"/>
    </row>
    <row r="667" ht="15.75" customHeight="1">
      <c r="B667" s="13"/>
    </row>
    <row r="668" ht="15.75" customHeight="1">
      <c r="B668" s="13"/>
    </row>
    <row r="669" ht="15.75" customHeight="1">
      <c r="B669" s="13"/>
    </row>
    <row r="670" ht="15.75" customHeight="1">
      <c r="B670" s="13"/>
    </row>
    <row r="671" ht="15.75" customHeight="1">
      <c r="B671" s="13"/>
    </row>
    <row r="672" ht="15.75" customHeight="1">
      <c r="B672" s="13"/>
    </row>
    <row r="673" ht="15.75" customHeight="1">
      <c r="B673" s="13"/>
    </row>
    <row r="674" ht="15.75" customHeight="1">
      <c r="B674" s="13"/>
    </row>
    <row r="675" ht="15.75" customHeight="1">
      <c r="B675" s="13"/>
    </row>
    <row r="676" ht="15.75" customHeight="1">
      <c r="B676" s="13"/>
    </row>
    <row r="677" ht="15.75" customHeight="1">
      <c r="B677" s="13"/>
    </row>
    <row r="678" ht="15.75" customHeight="1">
      <c r="B678" s="13"/>
    </row>
    <row r="679" ht="15.75" customHeight="1">
      <c r="B679" s="13"/>
    </row>
    <row r="680" ht="15.75" customHeight="1">
      <c r="B680" s="13"/>
    </row>
    <row r="681" ht="15.75" customHeight="1">
      <c r="B681" s="13"/>
    </row>
    <row r="682" ht="15.75" customHeight="1">
      <c r="B682" s="13"/>
    </row>
    <row r="683" ht="15.75" customHeight="1">
      <c r="B683" s="13"/>
    </row>
    <row r="684" ht="15.75" customHeight="1">
      <c r="B684" s="13"/>
    </row>
    <row r="685" ht="15.75" customHeight="1">
      <c r="B685" s="13"/>
    </row>
    <row r="686" ht="15.75" customHeight="1">
      <c r="B686" s="13"/>
    </row>
    <row r="687" ht="15.75" customHeight="1">
      <c r="B687" s="13"/>
    </row>
    <row r="688" ht="15.75" customHeight="1">
      <c r="B688" s="13"/>
    </row>
    <row r="689" ht="15.75" customHeight="1">
      <c r="B689" s="13"/>
    </row>
    <row r="690" ht="15.75" customHeight="1">
      <c r="B690" s="13"/>
    </row>
    <row r="691" ht="15.75" customHeight="1">
      <c r="B691" s="13"/>
    </row>
    <row r="692" ht="15.75" customHeight="1">
      <c r="B692" s="13"/>
    </row>
    <row r="693" ht="15.75" customHeight="1">
      <c r="B693" s="13"/>
    </row>
    <row r="694" ht="15.75" customHeight="1">
      <c r="B694" s="13"/>
    </row>
    <row r="695" ht="15.75" customHeight="1">
      <c r="B695" s="13"/>
    </row>
    <row r="696" ht="15.75" customHeight="1">
      <c r="B696" s="13"/>
    </row>
    <row r="697" ht="15.75" customHeight="1">
      <c r="B697" s="13"/>
    </row>
    <row r="698" ht="15.75" customHeight="1">
      <c r="B698" s="13"/>
    </row>
    <row r="699" ht="15.75" customHeight="1">
      <c r="B699" s="13"/>
    </row>
    <row r="700" ht="15.75" customHeight="1">
      <c r="B700" s="13"/>
    </row>
    <row r="701" ht="15.75" customHeight="1">
      <c r="B701" s="13"/>
    </row>
    <row r="702" ht="15.75" customHeight="1">
      <c r="B702" s="13"/>
    </row>
    <row r="703" ht="15.75" customHeight="1">
      <c r="B703" s="13"/>
    </row>
    <row r="704" ht="15.75" customHeight="1">
      <c r="B704" s="13"/>
    </row>
    <row r="705" ht="15.75" customHeight="1">
      <c r="B705" s="13"/>
    </row>
    <row r="706" ht="15.75" customHeight="1">
      <c r="B706" s="13"/>
    </row>
    <row r="707" ht="15.75" customHeight="1">
      <c r="B707" s="13"/>
    </row>
    <row r="708" ht="15.75" customHeight="1">
      <c r="B708" s="13"/>
    </row>
    <row r="709" ht="15.75" customHeight="1">
      <c r="B709" s="13"/>
    </row>
    <row r="710" ht="15.75" customHeight="1">
      <c r="B710" s="13"/>
    </row>
    <row r="711" ht="15.75" customHeight="1">
      <c r="B711" s="13"/>
    </row>
    <row r="712" ht="15.75" customHeight="1">
      <c r="B712" s="13"/>
    </row>
    <row r="713" ht="15.75" customHeight="1">
      <c r="B713" s="13"/>
    </row>
    <row r="714" ht="15.75" customHeight="1">
      <c r="B714" s="13"/>
    </row>
    <row r="715" ht="15.75" customHeight="1">
      <c r="B715" s="13"/>
    </row>
    <row r="716" ht="15.75" customHeight="1">
      <c r="B716" s="13"/>
    </row>
    <row r="717" ht="15.75" customHeight="1">
      <c r="B717" s="13"/>
    </row>
    <row r="718" ht="15.75" customHeight="1">
      <c r="B718" s="13"/>
    </row>
    <row r="719" ht="15.75" customHeight="1">
      <c r="B719" s="13"/>
    </row>
    <row r="720" ht="15.75" customHeight="1">
      <c r="B720" s="13"/>
    </row>
    <row r="721" ht="15.75" customHeight="1">
      <c r="B721" s="13"/>
    </row>
    <row r="722" ht="15.75" customHeight="1">
      <c r="B722" s="13"/>
    </row>
    <row r="723" ht="15.75" customHeight="1">
      <c r="B723" s="13"/>
    </row>
    <row r="724" ht="15.75" customHeight="1">
      <c r="B724" s="13"/>
    </row>
    <row r="725" ht="15.75" customHeight="1">
      <c r="B725" s="13"/>
    </row>
    <row r="726" ht="15.75" customHeight="1">
      <c r="B726" s="13"/>
    </row>
    <row r="727" ht="15.75" customHeight="1">
      <c r="B727" s="13"/>
    </row>
    <row r="728" ht="15.75" customHeight="1">
      <c r="B728" s="13"/>
    </row>
    <row r="729" ht="15.75" customHeight="1">
      <c r="B729" s="13"/>
    </row>
    <row r="730" ht="15.75" customHeight="1">
      <c r="B730" s="13"/>
    </row>
    <row r="731" ht="15.75" customHeight="1">
      <c r="B731" s="13"/>
    </row>
    <row r="732" ht="15.75" customHeight="1">
      <c r="B732" s="13"/>
    </row>
    <row r="733" ht="15.75" customHeight="1">
      <c r="B733" s="13"/>
    </row>
    <row r="734" ht="15.75" customHeight="1">
      <c r="B734" s="13"/>
    </row>
    <row r="735" ht="15.75" customHeight="1">
      <c r="B735" s="13"/>
    </row>
    <row r="736" ht="15.75" customHeight="1">
      <c r="B736" s="13"/>
    </row>
    <row r="737" ht="15.75" customHeight="1">
      <c r="B737" s="13"/>
    </row>
    <row r="738" ht="15.75" customHeight="1">
      <c r="B738" s="13"/>
    </row>
    <row r="739" ht="15.75" customHeight="1">
      <c r="B739" s="13"/>
    </row>
    <row r="740" ht="15.75" customHeight="1">
      <c r="B740" s="13"/>
    </row>
    <row r="741" ht="15.75" customHeight="1">
      <c r="B741" s="13"/>
    </row>
    <row r="742" ht="15.75" customHeight="1">
      <c r="B742" s="13"/>
    </row>
    <row r="743" ht="15.75" customHeight="1">
      <c r="B743" s="13"/>
    </row>
    <row r="744" ht="15.75" customHeight="1">
      <c r="B744" s="13"/>
    </row>
    <row r="745" ht="15.75" customHeight="1">
      <c r="B745" s="13"/>
    </row>
    <row r="746" ht="15.75" customHeight="1">
      <c r="B746" s="13"/>
    </row>
    <row r="747" ht="15.75" customHeight="1">
      <c r="B747" s="13"/>
    </row>
    <row r="748" ht="15.75" customHeight="1">
      <c r="B748" s="13"/>
    </row>
    <row r="749" ht="15.75" customHeight="1">
      <c r="B749" s="13"/>
    </row>
    <row r="750" ht="15.75" customHeight="1">
      <c r="B750" s="13"/>
    </row>
    <row r="751" ht="15.75" customHeight="1">
      <c r="B751" s="13"/>
    </row>
    <row r="752" ht="15.75" customHeight="1">
      <c r="B752" s="13"/>
    </row>
    <row r="753" ht="15.75" customHeight="1">
      <c r="B753" s="13"/>
    </row>
    <row r="754" ht="15.75" customHeight="1">
      <c r="B754" s="13"/>
    </row>
    <row r="755" ht="15.75" customHeight="1">
      <c r="B755" s="13"/>
    </row>
    <row r="756" ht="15.75" customHeight="1">
      <c r="B756" s="13"/>
    </row>
    <row r="757" ht="15.75" customHeight="1">
      <c r="B757" s="13"/>
    </row>
    <row r="758" ht="15.75" customHeight="1">
      <c r="B758" s="13"/>
    </row>
    <row r="759" ht="15.75" customHeight="1">
      <c r="B759" s="13"/>
    </row>
    <row r="760" ht="15.75" customHeight="1">
      <c r="B760" s="13"/>
    </row>
    <row r="761" ht="15.75" customHeight="1">
      <c r="B761" s="13"/>
    </row>
    <row r="762" ht="15.75" customHeight="1">
      <c r="B762" s="13"/>
    </row>
    <row r="763" ht="15.75" customHeight="1">
      <c r="B763" s="13"/>
    </row>
    <row r="764" ht="15.75" customHeight="1">
      <c r="B764" s="13"/>
    </row>
    <row r="765" ht="15.75" customHeight="1">
      <c r="B765" s="13"/>
    </row>
    <row r="766" ht="15.75" customHeight="1">
      <c r="B766" s="13"/>
    </row>
    <row r="767" ht="15.75" customHeight="1">
      <c r="B767" s="13"/>
    </row>
    <row r="768" ht="15.75" customHeight="1">
      <c r="B768" s="13"/>
    </row>
    <row r="769" ht="15.75" customHeight="1">
      <c r="B769" s="13"/>
    </row>
    <row r="770" ht="15.75" customHeight="1">
      <c r="B770" s="13"/>
    </row>
    <row r="771" ht="15.75" customHeight="1">
      <c r="B771" s="13"/>
    </row>
    <row r="772" ht="15.75" customHeight="1">
      <c r="B772" s="13"/>
    </row>
    <row r="773" ht="15.75" customHeight="1">
      <c r="B773" s="13"/>
    </row>
    <row r="774" ht="15.75" customHeight="1">
      <c r="B774" s="13"/>
    </row>
    <row r="775" ht="15.75" customHeight="1">
      <c r="B775" s="13"/>
    </row>
    <row r="776" ht="15.75" customHeight="1">
      <c r="B776" s="13"/>
    </row>
    <row r="777" ht="15.75" customHeight="1">
      <c r="B777" s="13"/>
    </row>
    <row r="778" ht="15.75" customHeight="1">
      <c r="B778" s="13"/>
    </row>
    <row r="779" ht="15.75" customHeight="1">
      <c r="B779" s="13"/>
    </row>
    <row r="780" ht="15.75" customHeight="1">
      <c r="B780" s="13"/>
    </row>
    <row r="781" ht="15.75" customHeight="1">
      <c r="B781" s="13"/>
    </row>
    <row r="782" ht="15.75" customHeight="1">
      <c r="B782" s="13"/>
    </row>
    <row r="783" ht="15.75" customHeight="1">
      <c r="B783" s="13"/>
    </row>
    <row r="784" ht="15.75" customHeight="1">
      <c r="B784" s="13"/>
    </row>
    <row r="785" ht="15.75" customHeight="1">
      <c r="B785" s="13"/>
    </row>
    <row r="786" ht="15.75" customHeight="1">
      <c r="B786" s="13"/>
    </row>
    <row r="787" ht="15.75" customHeight="1">
      <c r="B787" s="13"/>
    </row>
    <row r="788" ht="15.75" customHeight="1">
      <c r="B788" s="13"/>
    </row>
    <row r="789" ht="15.75" customHeight="1">
      <c r="B789" s="13"/>
    </row>
    <row r="790" ht="15.75" customHeight="1">
      <c r="B790" s="13"/>
    </row>
    <row r="791" ht="15.75" customHeight="1">
      <c r="B791" s="13"/>
    </row>
    <row r="792" ht="15.75" customHeight="1">
      <c r="B792" s="13"/>
    </row>
    <row r="793" ht="15.75" customHeight="1">
      <c r="B793" s="13"/>
    </row>
    <row r="794" ht="15.75" customHeight="1">
      <c r="B794" s="13"/>
    </row>
    <row r="795" ht="15.75" customHeight="1">
      <c r="B795" s="13"/>
    </row>
    <row r="796" ht="15.75" customHeight="1">
      <c r="B796" s="13"/>
    </row>
    <row r="797" ht="15.75" customHeight="1">
      <c r="B797" s="13"/>
    </row>
    <row r="798" ht="15.75" customHeight="1">
      <c r="B798" s="13"/>
    </row>
    <row r="799" ht="15.75" customHeight="1">
      <c r="B799" s="13"/>
    </row>
    <row r="800" ht="15.75" customHeight="1">
      <c r="B800" s="13"/>
    </row>
    <row r="801" ht="15.75" customHeight="1">
      <c r="B801" s="13"/>
    </row>
    <row r="802" ht="15.75" customHeight="1">
      <c r="B802" s="13"/>
    </row>
    <row r="803" ht="15.75" customHeight="1">
      <c r="B803" s="13"/>
    </row>
    <row r="804" ht="15.75" customHeight="1">
      <c r="B804" s="13"/>
    </row>
    <row r="805" ht="15.75" customHeight="1">
      <c r="B805" s="13"/>
    </row>
    <row r="806" ht="15.75" customHeight="1">
      <c r="B806" s="13"/>
    </row>
    <row r="807" ht="15.75" customHeight="1">
      <c r="B807" s="13"/>
    </row>
    <row r="808" ht="15.75" customHeight="1">
      <c r="B808" s="13"/>
    </row>
    <row r="809" ht="15.75" customHeight="1">
      <c r="B809" s="13"/>
    </row>
    <row r="810" ht="15.75" customHeight="1">
      <c r="B810" s="13"/>
    </row>
    <row r="811" ht="15.75" customHeight="1">
      <c r="B811" s="13"/>
    </row>
    <row r="812" ht="15.75" customHeight="1">
      <c r="B812" s="13"/>
    </row>
    <row r="813" ht="15.75" customHeight="1">
      <c r="B813" s="13"/>
    </row>
    <row r="814" ht="15.75" customHeight="1">
      <c r="B814" s="13"/>
    </row>
    <row r="815" ht="15.75" customHeight="1">
      <c r="B815" s="13"/>
    </row>
    <row r="816" ht="15.75" customHeight="1">
      <c r="B816" s="13"/>
    </row>
    <row r="817" ht="15.75" customHeight="1">
      <c r="B817" s="13"/>
    </row>
    <row r="818" ht="15.75" customHeight="1">
      <c r="B818" s="13"/>
    </row>
    <row r="819" ht="15.75" customHeight="1">
      <c r="B819" s="13"/>
    </row>
    <row r="820" ht="15.75" customHeight="1">
      <c r="B820" s="13"/>
    </row>
    <row r="821" ht="15.75" customHeight="1">
      <c r="B821" s="13"/>
    </row>
    <row r="822" ht="15.75" customHeight="1">
      <c r="B822" s="13"/>
    </row>
    <row r="823" ht="15.75" customHeight="1">
      <c r="B823" s="13"/>
    </row>
    <row r="824" ht="15.75" customHeight="1">
      <c r="B824" s="13"/>
    </row>
    <row r="825" ht="15.75" customHeight="1">
      <c r="B825" s="13"/>
    </row>
    <row r="826" ht="15.75" customHeight="1">
      <c r="B826" s="13"/>
    </row>
    <row r="827" ht="15.75" customHeight="1">
      <c r="B827" s="13"/>
    </row>
    <row r="828" ht="15.75" customHeight="1">
      <c r="B828" s="13"/>
    </row>
    <row r="829" ht="15.75" customHeight="1">
      <c r="B829" s="13"/>
    </row>
    <row r="830" ht="15.75" customHeight="1">
      <c r="B830" s="13"/>
    </row>
    <row r="831" ht="15.75" customHeight="1">
      <c r="B831" s="13"/>
    </row>
    <row r="832" ht="15.75" customHeight="1">
      <c r="B832" s="13"/>
    </row>
    <row r="833" ht="15.75" customHeight="1">
      <c r="B833" s="13"/>
    </row>
    <row r="834" ht="15.75" customHeight="1">
      <c r="B834" s="13"/>
    </row>
    <row r="835" ht="15.75" customHeight="1">
      <c r="B835" s="13"/>
    </row>
    <row r="836" ht="15.75" customHeight="1">
      <c r="B836" s="13"/>
    </row>
    <row r="837" ht="15.75" customHeight="1">
      <c r="B837" s="13"/>
    </row>
    <row r="838" ht="15.75" customHeight="1">
      <c r="B838" s="13"/>
    </row>
    <row r="839" ht="15.75" customHeight="1">
      <c r="B839" s="13"/>
    </row>
    <row r="840" ht="15.75" customHeight="1">
      <c r="B840" s="13"/>
    </row>
    <row r="841" ht="15.75" customHeight="1">
      <c r="B841" s="13"/>
    </row>
    <row r="842" ht="15.75" customHeight="1">
      <c r="B842" s="13"/>
    </row>
    <row r="843" ht="15.75" customHeight="1">
      <c r="B843" s="13"/>
    </row>
    <row r="844" ht="15.75" customHeight="1">
      <c r="B844" s="13"/>
    </row>
    <row r="845" ht="15.75" customHeight="1">
      <c r="B845" s="13"/>
    </row>
    <row r="846" ht="15.75" customHeight="1">
      <c r="B846" s="13"/>
    </row>
    <row r="847" ht="15.75" customHeight="1">
      <c r="B847" s="13"/>
    </row>
    <row r="848" ht="15.75" customHeight="1">
      <c r="B848" s="13"/>
    </row>
    <row r="849" ht="15.75" customHeight="1">
      <c r="B849" s="13"/>
    </row>
    <row r="850" ht="15.75" customHeight="1">
      <c r="B850" s="13"/>
    </row>
    <row r="851" ht="15.75" customHeight="1">
      <c r="B851" s="13"/>
    </row>
    <row r="852" ht="15.75" customHeight="1">
      <c r="B852" s="13"/>
    </row>
    <row r="853" ht="15.75" customHeight="1">
      <c r="B853" s="13"/>
    </row>
    <row r="854" ht="15.75" customHeight="1">
      <c r="B854" s="13"/>
    </row>
    <row r="855" ht="15.75" customHeight="1">
      <c r="B855" s="13"/>
    </row>
    <row r="856" ht="15.75" customHeight="1">
      <c r="B856" s="13"/>
    </row>
    <row r="857" ht="15.75" customHeight="1">
      <c r="B857" s="13"/>
    </row>
    <row r="858" ht="15.75" customHeight="1">
      <c r="B858" s="13"/>
    </row>
    <row r="859" ht="15.75" customHeight="1">
      <c r="B859" s="13"/>
    </row>
    <row r="860" ht="15.75" customHeight="1">
      <c r="B860" s="13"/>
    </row>
    <row r="861" ht="15.75" customHeight="1">
      <c r="B861" s="13"/>
    </row>
    <row r="862" ht="15.75" customHeight="1">
      <c r="B862" s="13"/>
    </row>
    <row r="863" ht="15.75" customHeight="1">
      <c r="B863" s="13"/>
    </row>
    <row r="864" ht="15.75" customHeight="1">
      <c r="B864" s="13"/>
    </row>
    <row r="865" ht="15.75" customHeight="1">
      <c r="B865" s="13"/>
    </row>
    <row r="866" ht="15.75" customHeight="1">
      <c r="B866" s="13"/>
    </row>
    <row r="867" ht="15.75" customHeight="1">
      <c r="B867" s="13"/>
    </row>
    <row r="868" ht="15.75" customHeight="1">
      <c r="B868" s="13"/>
    </row>
    <row r="869" ht="15.75" customHeight="1">
      <c r="B869" s="13"/>
    </row>
    <row r="870" ht="15.75" customHeight="1">
      <c r="B870" s="13"/>
    </row>
    <row r="871" ht="15.75" customHeight="1">
      <c r="B871" s="13"/>
    </row>
    <row r="872" ht="15.75" customHeight="1">
      <c r="B872" s="13"/>
    </row>
    <row r="873" ht="15.75" customHeight="1">
      <c r="B873" s="13"/>
    </row>
    <row r="874" ht="15.75" customHeight="1">
      <c r="B874" s="13"/>
    </row>
    <row r="875" ht="15.75" customHeight="1">
      <c r="B875" s="13"/>
    </row>
    <row r="876" ht="15.75" customHeight="1">
      <c r="B876" s="13"/>
    </row>
    <row r="877" ht="15.75" customHeight="1">
      <c r="B877" s="13"/>
    </row>
    <row r="878" ht="15.75" customHeight="1">
      <c r="B878" s="13"/>
    </row>
    <row r="879" ht="15.75" customHeight="1">
      <c r="B879" s="13"/>
    </row>
    <row r="880" ht="15.75" customHeight="1">
      <c r="B880" s="13"/>
    </row>
    <row r="881" ht="15.75" customHeight="1">
      <c r="B881" s="13"/>
    </row>
    <row r="882" ht="15.75" customHeight="1">
      <c r="B882" s="13"/>
    </row>
    <row r="883" ht="15.75" customHeight="1">
      <c r="B883" s="13"/>
    </row>
    <row r="884" ht="15.75" customHeight="1">
      <c r="B884" s="13"/>
    </row>
    <row r="885" ht="15.75" customHeight="1">
      <c r="B885" s="13"/>
    </row>
    <row r="886" ht="15.75" customHeight="1">
      <c r="B886" s="13"/>
    </row>
    <row r="887" ht="15.75" customHeight="1">
      <c r="B887" s="13"/>
    </row>
    <row r="888" ht="15.75" customHeight="1">
      <c r="B888" s="13"/>
    </row>
    <row r="889" ht="15.75" customHeight="1">
      <c r="B889" s="13"/>
    </row>
    <row r="890" ht="15.75" customHeight="1">
      <c r="B890" s="13"/>
    </row>
    <row r="891" ht="15.75" customHeight="1">
      <c r="B891" s="13"/>
    </row>
    <row r="892" ht="15.75" customHeight="1">
      <c r="B892" s="13"/>
    </row>
    <row r="893" ht="15.75" customHeight="1">
      <c r="B893" s="13"/>
    </row>
    <row r="894" ht="15.75" customHeight="1">
      <c r="B894" s="13"/>
    </row>
    <row r="895" ht="15.75" customHeight="1">
      <c r="B895" s="13"/>
    </row>
    <row r="896" ht="15.75" customHeight="1">
      <c r="B896" s="13"/>
    </row>
    <row r="897" ht="15.75" customHeight="1">
      <c r="B897" s="13"/>
    </row>
    <row r="898" ht="15.75" customHeight="1">
      <c r="B898" s="13"/>
    </row>
    <row r="899" ht="15.75" customHeight="1">
      <c r="B899" s="13"/>
    </row>
    <row r="900" ht="15.75" customHeight="1">
      <c r="B900" s="13"/>
    </row>
    <row r="901" ht="15.75" customHeight="1">
      <c r="B901" s="13"/>
    </row>
    <row r="902" ht="15.75" customHeight="1">
      <c r="B902" s="13"/>
    </row>
    <row r="903" ht="15.75" customHeight="1">
      <c r="B903" s="13"/>
    </row>
    <row r="904" ht="15.75" customHeight="1">
      <c r="B904" s="13"/>
    </row>
    <row r="905" ht="15.75" customHeight="1">
      <c r="B905" s="13"/>
    </row>
    <row r="906" ht="15.75" customHeight="1">
      <c r="B906" s="13"/>
    </row>
    <row r="907" ht="15.75" customHeight="1">
      <c r="B907" s="13"/>
    </row>
    <row r="908" ht="15.75" customHeight="1">
      <c r="B908" s="13"/>
    </row>
    <row r="909" ht="15.75" customHeight="1">
      <c r="B909" s="13"/>
    </row>
    <row r="910" ht="15.75" customHeight="1">
      <c r="B910" s="13"/>
    </row>
    <row r="911" ht="15.75" customHeight="1">
      <c r="B911" s="13"/>
    </row>
    <row r="912" ht="15.75" customHeight="1">
      <c r="B912" s="13"/>
    </row>
    <row r="913" ht="15.75" customHeight="1">
      <c r="B913" s="13"/>
    </row>
    <row r="914" ht="15.75" customHeight="1">
      <c r="B914" s="13"/>
    </row>
    <row r="915" ht="15.75" customHeight="1">
      <c r="B915" s="13"/>
    </row>
    <row r="916" ht="15.75" customHeight="1">
      <c r="B916" s="13"/>
    </row>
    <row r="917" ht="15.75" customHeight="1">
      <c r="B917" s="13"/>
    </row>
    <row r="918" ht="15.75" customHeight="1">
      <c r="B918" s="13"/>
    </row>
    <row r="919" ht="15.75" customHeight="1">
      <c r="B919" s="13"/>
    </row>
    <row r="920" ht="15.75" customHeight="1">
      <c r="B920" s="13"/>
    </row>
    <row r="921" ht="15.75" customHeight="1">
      <c r="B921" s="13"/>
    </row>
    <row r="922" ht="15.75" customHeight="1">
      <c r="B922" s="13"/>
    </row>
    <row r="923" ht="15.75" customHeight="1">
      <c r="B923" s="13"/>
    </row>
    <row r="924" ht="15.75" customHeight="1">
      <c r="B924" s="13"/>
    </row>
    <row r="925" ht="15.75" customHeight="1">
      <c r="B925" s="13"/>
    </row>
    <row r="926" ht="15.75" customHeight="1">
      <c r="B926" s="13"/>
    </row>
    <row r="927" ht="15.75" customHeight="1">
      <c r="B927" s="13"/>
    </row>
    <row r="928" ht="15.75" customHeight="1">
      <c r="B928" s="13"/>
    </row>
    <row r="929" ht="15.75" customHeight="1">
      <c r="B929" s="13"/>
    </row>
    <row r="930" ht="15.75" customHeight="1">
      <c r="B930" s="13"/>
    </row>
    <row r="931" ht="15.75" customHeight="1">
      <c r="B931" s="13"/>
    </row>
    <row r="932" ht="15.75" customHeight="1">
      <c r="B932" s="13"/>
    </row>
    <row r="933" ht="15.75" customHeight="1">
      <c r="B933" s="13"/>
    </row>
    <row r="934" ht="15.75" customHeight="1">
      <c r="B934" s="13"/>
    </row>
    <row r="935" ht="15.75" customHeight="1">
      <c r="B935" s="13"/>
    </row>
    <row r="936" ht="15.75" customHeight="1">
      <c r="B936" s="13"/>
    </row>
    <row r="937" ht="15.75" customHeight="1">
      <c r="B937" s="13"/>
    </row>
    <row r="938" ht="15.75" customHeight="1">
      <c r="B938" s="13"/>
    </row>
    <row r="939" ht="15.75" customHeight="1">
      <c r="B939" s="13"/>
    </row>
    <row r="940" ht="15.75" customHeight="1">
      <c r="B940" s="13"/>
    </row>
    <row r="941" ht="15.75" customHeight="1">
      <c r="B941" s="13"/>
    </row>
    <row r="942" ht="15.75" customHeight="1">
      <c r="B942" s="13"/>
    </row>
    <row r="943" ht="15.75" customHeight="1">
      <c r="B943" s="13"/>
    </row>
    <row r="944" ht="15.75" customHeight="1">
      <c r="B944" s="13"/>
    </row>
    <row r="945" ht="15.75" customHeight="1">
      <c r="B945" s="13"/>
    </row>
    <row r="946" ht="15.75" customHeight="1">
      <c r="B946" s="13"/>
    </row>
    <row r="947" ht="15.75" customHeight="1">
      <c r="B947" s="13"/>
    </row>
    <row r="948" ht="15.75" customHeight="1">
      <c r="B948" s="13"/>
    </row>
    <row r="949" ht="15.75" customHeight="1">
      <c r="B949" s="13"/>
    </row>
    <row r="950" ht="15.75" customHeight="1">
      <c r="B950" s="13"/>
    </row>
    <row r="951" ht="15.75" customHeight="1">
      <c r="B951" s="13"/>
    </row>
    <row r="952" ht="15.75" customHeight="1">
      <c r="B952" s="13"/>
    </row>
    <row r="953" ht="15.75" customHeight="1">
      <c r="B953" s="13"/>
    </row>
    <row r="954" ht="15.75" customHeight="1">
      <c r="B954" s="13"/>
    </row>
    <row r="955" ht="15.75" customHeight="1">
      <c r="B955" s="13"/>
    </row>
    <row r="956" ht="15.75" customHeight="1">
      <c r="B956" s="13"/>
    </row>
    <row r="957" ht="15.75" customHeight="1">
      <c r="B957" s="13"/>
    </row>
    <row r="958" ht="15.75" customHeight="1">
      <c r="B958" s="13"/>
    </row>
    <row r="959" ht="15.75" customHeight="1">
      <c r="B959" s="13"/>
    </row>
    <row r="960" ht="15.75" customHeight="1">
      <c r="B960" s="13"/>
    </row>
    <row r="961" ht="15.75" customHeight="1">
      <c r="B961" s="13"/>
    </row>
    <row r="962" ht="15.75" customHeight="1">
      <c r="B962" s="13"/>
    </row>
    <row r="963" ht="15.75" customHeight="1">
      <c r="B963" s="13"/>
    </row>
    <row r="964" ht="15.75" customHeight="1">
      <c r="B964" s="13"/>
    </row>
    <row r="965" ht="15.75" customHeight="1">
      <c r="B965" s="13"/>
    </row>
    <row r="966" ht="15.75" customHeight="1">
      <c r="B966" s="13"/>
    </row>
    <row r="967" ht="15.75" customHeight="1">
      <c r="B967" s="13"/>
    </row>
    <row r="968" ht="15.75" customHeight="1">
      <c r="B968" s="13"/>
    </row>
    <row r="969" ht="15.75" customHeight="1">
      <c r="B969" s="13"/>
    </row>
    <row r="970" ht="15.75" customHeight="1">
      <c r="B970" s="13"/>
    </row>
    <row r="971" ht="15.75" customHeight="1">
      <c r="B971" s="13"/>
    </row>
    <row r="972" ht="15.75" customHeight="1">
      <c r="B972" s="13"/>
    </row>
    <row r="973" ht="15.75" customHeight="1">
      <c r="B973" s="13"/>
    </row>
    <row r="974" ht="15.75" customHeight="1">
      <c r="B974" s="13"/>
    </row>
    <row r="975" ht="15.75" customHeight="1">
      <c r="B975" s="13"/>
    </row>
    <row r="976" ht="15.75" customHeight="1">
      <c r="B976" s="13"/>
    </row>
    <row r="977" ht="15.75" customHeight="1">
      <c r="B977" s="13"/>
    </row>
    <row r="978" ht="15.75" customHeight="1">
      <c r="B978" s="13"/>
    </row>
    <row r="979" ht="15.75" customHeight="1">
      <c r="B979" s="13"/>
    </row>
    <row r="980" ht="15.75" customHeight="1">
      <c r="B980" s="13"/>
    </row>
    <row r="981" ht="15.75" customHeight="1">
      <c r="B981" s="13"/>
    </row>
    <row r="982" ht="15.75" customHeight="1">
      <c r="B982" s="13"/>
    </row>
    <row r="983" ht="15.75" customHeight="1">
      <c r="B983" s="13"/>
    </row>
    <row r="984" ht="15.75" customHeight="1">
      <c r="B984" s="13"/>
    </row>
    <row r="985" ht="15.75" customHeight="1">
      <c r="B985" s="13"/>
    </row>
    <row r="986" ht="15.75" customHeight="1">
      <c r="B986" s="13"/>
    </row>
    <row r="987" ht="15.75" customHeight="1">
      <c r="B987" s="13"/>
    </row>
    <row r="988" ht="15.75" customHeight="1">
      <c r="B988" s="13"/>
    </row>
    <row r="989" ht="15.75" customHeight="1">
      <c r="B989" s="13"/>
    </row>
    <row r="990" ht="15.75" customHeight="1">
      <c r="B990" s="13"/>
    </row>
    <row r="991" ht="15.75" customHeight="1">
      <c r="B991" s="13"/>
    </row>
    <row r="992" ht="15.75" customHeight="1">
      <c r="B992" s="13"/>
    </row>
    <row r="993" ht="15.75" customHeight="1">
      <c r="B993" s="13"/>
    </row>
    <row r="994" ht="15.75" customHeight="1">
      <c r="B994" s="13"/>
    </row>
    <row r="995" ht="15.75" customHeight="1">
      <c r="B995" s="13"/>
    </row>
    <row r="996" ht="15.75" customHeight="1">
      <c r="B996" s="13"/>
    </row>
    <row r="997" ht="15.75" customHeight="1">
      <c r="B997" s="13"/>
    </row>
    <row r="998" ht="15.75" customHeight="1">
      <c r="B998" s="13"/>
    </row>
    <row r="999" ht="15.75" customHeight="1">
      <c r="B999" s="13"/>
    </row>
    <row r="1000" ht="15.75" customHeight="1">
      <c r="B1000" s="13"/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DESKTOP-GDO6MF2\amoR</cp:lastModifiedBy>
  <dcterms:modified xsi:type="dcterms:W3CDTF">2026-02-26T07:13:02Z</dcterms:modified>
</cp:coreProperties>
</file>